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files\"/>
    </mc:Choice>
  </mc:AlternateContent>
  <bookViews>
    <workbookView xWindow="0" yWindow="0" windowWidth="20490" windowHeight="9045" tabRatio="500" activeTab="6"/>
  </bookViews>
  <sheets>
    <sheet name="rules" sheetId="1" r:id="rId1"/>
    <sheet name="feature_rank" sheetId="2" r:id="rId2"/>
    <sheet name="models" sheetId="3" r:id="rId3"/>
    <sheet name="rank_points" sheetId="4" r:id="rId4"/>
    <sheet name="inputs" sheetId="5" r:id="rId5"/>
    <sheet name="units" sheetId="6" r:id="rId6"/>
    <sheet name="settings" sheetId="7" r:id="rId7"/>
    <sheet name="crop_operations" sheetId="8" r:id="rId8"/>
    <sheet name="economic" sheetId="9" r:id="rId9"/>
    <sheet name="commercial" sheetId="10" r:id="rId10"/>
    <sheet name="brand_service" sheetId="11" r:id="rId11"/>
    <sheet name="commercial_points" sheetId="12" r:id="rId12"/>
    <sheet name="weights" sheetId="13" r:id="rId13"/>
  </sheets>
  <calcPr calcId="152511"/>
</workbook>
</file>

<file path=xl/calcChain.xml><?xml version="1.0" encoding="utf-8"?>
<calcChain xmlns="http://schemas.openxmlformats.org/spreadsheetml/2006/main"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" i="9"/>
</calcChain>
</file>

<file path=xl/sharedStrings.xml><?xml version="1.0" encoding="utf-8"?>
<sst xmlns="http://schemas.openxmlformats.org/spreadsheetml/2006/main" count="610" uniqueCount="203">
  <si>
    <t>land_extent_min</t>
  </si>
  <si>
    <t>land_extent_max</t>
  </si>
  <si>
    <t>soil_feature</t>
  </si>
  <si>
    <t>weed_height</t>
  </si>
  <si>
    <t>cutting_width_min</t>
  </si>
  <si>
    <t>cutting_width_max</t>
  </si>
  <si>
    <t>handle_type</t>
  </si>
  <si>
    <t>power_output_min</t>
  </si>
  <si>
    <t>power_output_max</t>
  </si>
  <si>
    <t>power_source</t>
  </si>
  <si>
    <t>stroke</t>
  </si>
  <si>
    <t>weight_min</t>
  </si>
  <si>
    <t>weight_max</t>
  </si>
  <si>
    <t>harness</t>
  </si>
  <si>
    <t>cutter_type</t>
  </si>
  <si>
    <t>harsh</t>
  </si>
  <si>
    <t>soft weeds</t>
  </si>
  <si>
    <t>U type (bike type)|D loop</t>
  </si>
  <si>
    <t>petrol</t>
  </si>
  <si>
    <t>2|4</t>
  </si>
  <si>
    <t>Single shoulder|Double shoulder/Back pack</t>
  </si>
  <si>
    <t>Nylon line|Two/three teeth/4 teeth</t>
  </si>
  <si>
    <t>hard weeds</t>
  </si>
  <si>
    <t>U type (bike type)</t>
  </si>
  <si>
    <t>Two/three teeth/4 teeth|Circular</t>
  </si>
  <si>
    <t>even and tilled</t>
  </si>
  <si>
    <t>petrol|battery|electric</t>
  </si>
  <si>
    <t>Single shoulder|Double shoulder/Back pack|Trolley type</t>
  </si>
  <si>
    <t>slopy</t>
  </si>
  <si>
    <t>2</t>
  </si>
  <si>
    <t>Two/three teeth/4 teeth|Nylon line</t>
  </si>
  <si>
    <t>Double shoulder/Back pack</t>
  </si>
  <si>
    <t>Double shoulder/Back pack|Trolley type</t>
  </si>
  <si>
    <t>cutting_width</t>
  </si>
  <si>
    <t>power_output</t>
  </si>
  <si>
    <t>weight</t>
  </si>
  <si>
    <t>model</t>
  </si>
  <si>
    <t>brand</t>
  </si>
  <si>
    <t>UMK435T_U2NT</t>
  </si>
  <si>
    <t>Honda</t>
  </si>
  <si>
    <t>12 inch</t>
  </si>
  <si>
    <t>1.3 HP</t>
  </si>
  <si>
    <t>4</t>
  </si>
  <si>
    <t>8.45 kg</t>
  </si>
  <si>
    <t>UMK435T_UENT</t>
  </si>
  <si>
    <t>Double shoulder/Back pack|Single shoulder</t>
  </si>
  <si>
    <t>UMK425T_U2ST</t>
  </si>
  <si>
    <t>11.8 inch</t>
  </si>
  <si>
    <t>1 HP</t>
  </si>
  <si>
    <t>6.77 kg</t>
  </si>
  <si>
    <t>Two/three teeth/4 teeth</t>
  </si>
  <si>
    <t>UMK450T_U2NT</t>
  </si>
  <si>
    <t>14 inch</t>
  </si>
  <si>
    <t>2 HP</t>
  </si>
  <si>
    <t>9.2 kg</t>
  </si>
  <si>
    <t>UMK450T_UTNT</t>
  </si>
  <si>
    <t>9.1 kg</t>
  </si>
  <si>
    <t>Nylon line</t>
  </si>
  <si>
    <t>UMR435T_L2ST</t>
  </si>
  <si>
    <t>D loop</t>
  </si>
  <si>
    <t>11.26 kg</t>
  </si>
  <si>
    <t>UMR435T_LEDT</t>
  </si>
  <si>
    <t>10 inch</t>
  </si>
  <si>
    <t>8.08 kg</t>
  </si>
  <si>
    <t>HHT36YXBD79</t>
  </si>
  <si>
    <t>13.8 inch</t>
  </si>
  <si>
    <t>0.47 HP</t>
  </si>
  <si>
    <t>battery</t>
  </si>
  <si>
    <t>5.5 kg</t>
  </si>
  <si>
    <t>Single shoulder</t>
  </si>
  <si>
    <t>UR3501</t>
  </si>
  <si>
    <t>Makita</t>
  </si>
  <si>
    <t>1.34 HP</t>
  </si>
  <si>
    <t>electric</t>
  </si>
  <si>
    <t>4.6 kg</t>
  </si>
  <si>
    <t>UR006GM101</t>
  </si>
  <si>
    <t>16.9 inch</t>
  </si>
  <si>
    <t>6.3 kg</t>
  </si>
  <si>
    <t>UR013GT206</t>
  </si>
  <si>
    <t>17.7 inch</t>
  </si>
  <si>
    <t>2.01 HP</t>
  </si>
  <si>
    <t>7.2 kg</t>
  </si>
  <si>
    <t>UR007GM101</t>
  </si>
  <si>
    <t>5.8 kg</t>
  </si>
  <si>
    <t>RBC411U</t>
  </si>
  <si>
    <t>15.7 inch</t>
  </si>
  <si>
    <t>8.2 kg</t>
  </si>
  <si>
    <t>EM2500U</t>
  </si>
  <si>
    <t>15 inch</t>
  </si>
  <si>
    <t>5.3 kg</t>
  </si>
  <si>
    <t>FS_230</t>
  </si>
  <si>
    <t>Stihl</t>
  </si>
  <si>
    <t>16.5 inch</t>
  </si>
  <si>
    <t>2.1 HP</t>
  </si>
  <si>
    <t>7.1 kg</t>
  </si>
  <si>
    <t>FS_120</t>
  </si>
  <si>
    <t>1.8 HP</t>
  </si>
  <si>
    <t>8.1 kg</t>
  </si>
  <si>
    <t>FS_250</t>
  </si>
  <si>
    <t>2.2 HP</t>
  </si>
  <si>
    <t>8.4 kg</t>
  </si>
  <si>
    <t>BC358D_4S</t>
  </si>
  <si>
    <t>Texas</t>
  </si>
  <si>
    <t>TX1450B_TX4S20250_4S</t>
  </si>
  <si>
    <t>9.5 kg</t>
  </si>
  <si>
    <t>Circular|Two/three teeth/4 teeth|Nylon line</t>
  </si>
  <si>
    <t>TX1450B_4S_BackPack</t>
  </si>
  <si>
    <t>12.6 kg</t>
  </si>
  <si>
    <t>Circular</t>
  </si>
  <si>
    <t>TX1437B_2S</t>
  </si>
  <si>
    <t>1.6 HP</t>
  </si>
  <si>
    <t>6.9 kg</t>
  </si>
  <si>
    <t>G45L</t>
  </si>
  <si>
    <t>Sri Gowri Bhargava PL</t>
  </si>
  <si>
    <t>Trolley type</t>
  </si>
  <si>
    <t>Circular|Nylon line|Two/three teeth/4 teeth</t>
  </si>
  <si>
    <t>rank</t>
  </si>
  <si>
    <t>points</t>
  </si>
  <si>
    <t>input</t>
  </si>
  <si>
    <t>allowed_values</t>
  </si>
  <si>
    <t>role</t>
  </si>
  <si>
    <t>no_filter_value</t>
  </si>
  <si>
    <t>unit</t>
  </si>
  <si>
    <t>role: rule_key = picks the row in rules/feature_rank; filter = only filters which models are shown (All = no filter). Every other column in rules/feature_rank is a scored feature, including power_source. no_filter_value = the answer that means "do not filter" for that input (blank = every answer filters). range_key = a number the farmer types (acres). rules, feature_rank and must_have then have land_extent_min and land_extent_max instead of land_extent. A row applies when min &lt;= answer &lt; max; blank max = no upper limit. lookup = a farmer pick that is not used for rules or filtering; its value is looked up in another sheet (crop -&gt; operations_per_year in crop_operations).</t>
  </si>
  <si>
    <t>land_extent</t>
  </si>
  <si>
    <t>range_key</t>
  </si>
  <si>
    <t>acres</t>
  </si>
  <si>
    <t>harsh|even and tilled|slopy</t>
  </si>
  <si>
    <t>rule_key</t>
  </si>
  <si>
    <t>soft weeds|hard weeds</t>
  </si>
  <si>
    <t>All|petrol|battery|electric</t>
  </si>
  <si>
    <t>filter</t>
  </si>
  <si>
    <t>All</t>
  </si>
  <si>
    <t>crop</t>
  </si>
  <si>
    <t>Areca|Coconut|Coffee|Pepper|Banana|Citrus|Grapes|Mango|Papaya|Pomegranate|Rose|Sapota|Paddy|Sugarcane|Carrot|Cauliflower|Chilli|Chrysanthemum|Ginger|Onion|Potato|Tomato|Turmeric|Cotton|Groundnut|Maize|Tur</t>
  </si>
  <si>
    <t>lookup</t>
  </si>
  <si>
    <t>feature</t>
  </si>
  <si>
    <t>inch</t>
  </si>
  <si>
    <t>HP</t>
  </si>
  <si>
    <t>kg</t>
  </si>
  <si>
    <t>key</t>
  </si>
  <si>
    <t>value</t>
  </si>
  <si>
    <t>band_points</t>
  </si>
  <si>
    <t>min_pool</t>
  </si>
  <si>
    <t>max_pool</t>
  </si>
  <si>
    <t>top_n</t>
  </si>
  <si>
    <t>max_per_brand</t>
  </si>
  <si>
    <t>tie_margin</t>
  </si>
  <si>
    <t xml:space="preserve">petrol_price_per_litre </t>
  </si>
  <si>
    <t xml:space="preserve">electricity_price_per_kwh </t>
  </si>
  <si>
    <t>operations_per_year</t>
  </si>
  <si>
    <t>Areca</t>
  </si>
  <si>
    <t>Coconut</t>
  </si>
  <si>
    <t>Coffee</t>
  </si>
  <si>
    <t>Pepper</t>
  </si>
  <si>
    <t>Banana</t>
  </si>
  <si>
    <t>Citrus</t>
  </si>
  <si>
    <t>Grapes</t>
  </si>
  <si>
    <t>Mango</t>
  </si>
  <si>
    <t>Papaya</t>
  </si>
  <si>
    <t>Pomegranate</t>
  </si>
  <si>
    <t>Rose</t>
  </si>
  <si>
    <t>Sapota</t>
  </si>
  <si>
    <t>Paddy</t>
  </si>
  <si>
    <t>Sugarcane</t>
  </si>
  <si>
    <t>Carrot</t>
  </si>
  <si>
    <t>Cauliflower</t>
  </si>
  <si>
    <t>Chilli</t>
  </si>
  <si>
    <t>Chrysanthemum</t>
  </si>
  <si>
    <t>Ginger</t>
  </si>
  <si>
    <t>Onion</t>
  </si>
  <si>
    <t>Potato</t>
  </si>
  <si>
    <t>Tomato</t>
  </si>
  <si>
    <t>Turmeric</t>
  </si>
  <si>
    <t>Cotton</t>
  </si>
  <si>
    <t>Groundnut</t>
  </si>
  <si>
    <t>Maize</t>
  </si>
  <si>
    <t>Tur</t>
  </si>
  <si>
    <t>price</t>
  </si>
  <si>
    <t>life_years</t>
  </si>
  <si>
    <t>fuel_consumption_per_hr</t>
  </si>
  <si>
    <t>coverage_area_acres_per_hr</t>
  </si>
  <si>
    <t>maintenance_per_year</t>
  </si>
  <si>
    <t>stock_status</t>
  </si>
  <si>
    <t>warranty_months</t>
  </si>
  <si>
    <t>in_stock</t>
  </si>
  <si>
    <t>low_stock</t>
  </si>
  <si>
    <t>order_only</t>
  </si>
  <si>
    <t>region</t>
  </si>
  <si>
    <t>service_support</t>
  </si>
  <si>
    <t>all regions</t>
  </si>
  <si>
    <t>service_and_parts</t>
  </si>
  <si>
    <t>service_only</t>
  </si>
  <si>
    <t>parts_only</t>
  </si>
  <si>
    <t>factor</t>
  </si>
  <si>
    <t>out_of_stock</t>
  </si>
  <si>
    <t>none</t>
  </si>
  <si>
    <t>layer</t>
  </si>
  <si>
    <t>commercial_factor</t>
  </si>
  <si>
    <t>technical</t>
  </si>
  <si>
    <t>economic</t>
  </si>
  <si>
    <t>commercial</t>
  </si>
  <si>
    <t>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</si>
</sst>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18" sqref="J18"/>
    </sheetView>
  </sheetViews>
  <sheetFormatPr defaultColWidth="8.7109375" defaultRowHeight="15" x14ac:dyDescent="0.25"/>
  <cols>
    <col min="1" max="3" width="16" style="1" customWidth="1"/>
    <col min="4" max="5" width="19" style="1" customWidth="1"/>
    <col min="6" max="8" width="22.5703125" style="1" customWidth="1"/>
    <col min="9" max="12" width="14" style="1" customWidth="1"/>
    <col min="13" max="13" width="52.28515625" style="1" customWidth="1"/>
    <col min="14" max="14" width="22.42578125" style="1" customWidth="1"/>
    <col min="15" max="15" width="14" style="1" customWidth="1"/>
    <col min="17" max="17" width="15.85546875" customWidth="1"/>
  </cols>
  <sheetData>
    <row r="1" spans="1:15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25">
      <c r="A2">
        <v>0</v>
      </c>
      <c r="B2">
        <v>2</v>
      </c>
      <c r="C2" t="s">
        <v>15</v>
      </c>
      <c r="D2" t="s">
        <v>16</v>
      </c>
      <c r="E2">
        <v>12</v>
      </c>
      <c r="F2">
        <v>16.5</v>
      </c>
      <c r="G2" t="s">
        <v>17</v>
      </c>
      <c r="H2">
        <v>1.3</v>
      </c>
      <c r="I2">
        <v>1.5</v>
      </c>
      <c r="J2" t="s">
        <v>18</v>
      </c>
      <c r="K2" t="s">
        <v>19</v>
      </c>
      <c r="L2">
        <v>5</v>
      </c>
      <c r="M2">
        <v>9</v>
      </c>
      <c r="N2" t="s">
        <v>20</v>
      </c>
      <c r="O2" t="s">
        <v>21</v>
      </c>
    </row>
    <row r="3" spans="1:15" ht="15" customHeight="1" x14ac:dyDescent="0.25">
      <c r="A3">
        <v>0</v>
      </c>
      <c r="B3">
        <v>2</v>
      </c>
      <c r="C3" t="s">
        <v>15</v>
      </c>
      <c r="D3" t="s">
        <v>22</v>
      </c>
      <c r="E3">
        <v>9</v>
      </c>
      <c r="F3">
        <v>14</v>
      </c>
      <c r="G3" t="s">
        <v>23</v>
      </c>
      <c r="H3">
        <v>2</v>
      </c>
      <c r="I3">
        <v>2.5</v>
      </c>
      <c r="J3" t="s">
        <v>18</v>
      </c>
      <c r="K3" t="s">
        <v>19</v>
      </c>
      <c r="L3">
        <v>6</v>
      </c>
      <c r="M3">
        <v>10</v>
      </c>
      <c r="N3" t="s">
        <v>20</v>
      </c>
      <c r="O3" t="s">
        <v>24</v>
      </c>
    </row>
    <row r="4" spans="1:15" ht="15" customHeight="1" x14ac:dyDescent="0.25">
      <c r="A4">
        <v>0</v>
      </c>
      <c r="B4">
        <v>2</v>
      </c>
      <c r="C4" t="s">
        <v>25</v>
      </c>
      <c r="D4" t="s">
        <v>16</v>
      </c>
      <c r="E4">
        <v>12</v>
      </c>
      <c r="F4">
        <v>16.5</v>
      </c>
      <c r="G4" t="s">
        <v>17</v>
      </c>
      <c r="H4">
        <v>1</v>
      </c>
      <c r="I4">
        <v>1.3</v>
      </c>
      <c r="J4" t="s">
        <v>26</v>
      </c>
      <c r="K4" t="s">
        <v>19</v>
      </c>
      <c r="L4">
        <v>4.5</v>
      </c>
      <c r="M4">
        <v>8</v>
      </c>
      <c r="N4" t="s">
        <v>27</v>
      </c>
      <c r="O4" t="s">
        <v>21</v>
      </c>
    </row>
    <row r="5" spans="1:15" ht="15" customHeight="1" x14ac:dyDescent="0.25">
      <c r="A5">
        <v>0</v>
      </c>
      <c r="B5">
        <v>2</v>
      </c>
      <c r="C5" t="s">
        <v>25</v>
      </c>
      <c r="D5" t="s">
        <v>22</v>
      </c>
      <c r="E5">
        <v>9</v>
      </c>
      <c r="F5">
        <v>14</v>
      </c>
      <c r="G5" t="s">
        <v>23</v>
      </c>
      <c r="H5">
        <v>1.5</v>
      </c>
      <c r="I5">
        <v>2</v>
      </c>
      <c r="J5" t="s">
        <v>26</v>
      </c>
      <c r="K5" t="s">
        <v>19</v>
      </c>
      <c r="L5">
        <v>5.5</v>
      </c>
      <c r="M5">
        <v>9.5</v>
      </c>
      <c r="N5" t="s">
        <v>27</v>
      </c>
      <c r="O5" t="s">
        <v>24</v>
      </c>
    </row>
    <row r="6" spans="1:15" ht="15" customHeight="1" x14ac:dyDescent="0.25">
      <c r="A6">
        <v>0</v>
      </c>
      <c r="B6">
        <v>2</v>
      </c>
      <c r="C6" t="s">
        <v>28</v>
      </c>
      <c r="D6" t="s">
        <v>16</v>
      </c>
      <c r="E6">
        <v>10</v>
      </c>
      <c r="F6">
        <v>14</v>
      </c>
      <c r="G6" t="s">
        <v>23</v>
      </c>
      <c r="H6">
        <v>1.3</v>
      </c>
      <c r="I6">
        <v>2</v>
      </c>
      <c r="J6" t="s">
        <v>18</v>
      </c>
      <c r="K6" t="s">
        <v>29</v>
      </c>
      <c r="L6">
        <v>4.5</v>
      </c>
      <c r="M6">
        <v>7.5</v>
      </c>
      <c r="N6" t="s">
        <v>20</v>
      </c>
      <c r="O6" t="s">
        <v>30</v>
      </c>
    </row>
    <row r="7" spans="1:15" ht="15" customHeight="1" x14ac:dyDescent="0.25">
      <c r="A7">
        <v>0</v>
      </c>
      <c r="B7">
        <v>2</v>
      </c>
      <c r="C7" t="s">
        <v>28</v>
      </c>
      <c r="D7" t="s">
        <v>22</v>
      </c>
      <c r="E7">
        <v>9</v>
      </c>
      <c r="F7">
        <v>12</v>
      </c>
      <c r="G7" t="s">
        <v>23</v>
      </c>
      <c r="H7">
        <v>1.8</v>
      </c>
      <c r="I7">
        <v>2.5</v>
      </c>
      <c r="J7" t="s">
        <v>18</v>
      </c>
      <c r="K7" t="s">
        <v>29</v>
      </c>
      <c r="L7">
        <v>5.5</v>
      </c>
      <c r="M7">
        <v>8.5</v>
      </c>
      <c r="N7" t="s">
        <v>20</v>
      </c>
      <c r="O7" t="s">
        <v>24</v>
      </c>
    </row>
    <row r="8" spans="1:15" ht="15" customHeight="1" x14ac:dyDescent="0.25">
      <c r="A8">
        <v>2</v>
      </c>
      <c r="B8">
        <v>5</v>
      </c>
      <c r="C8" t="s">
        <v>15</v>
      </c>
      <c r="D8" t="s">
        <v>16</v>
      </c>
      <c r="E8">
        <v>12</v>
      </c>
      <c r="F8">
        <v>16.5</v>
      </c>
      <c r="G8" t="s">
        <v>23</v>
      </c>
      <c r="H8">
        <v>1.5</v>
      </c>
      <c r="I8">
        <v>2</v>
      </c>
      <c r="J8" t="s">
        <v>18</v>
      </c>
      <c r="K8" t="s">
        <v>19</v>
      </c>
      <c r="L8">
        <v>5.5</v>
      </c>
      <c r="M8">
        <v>10</v>
      </c>
      <c r="N8" t="s">
        <v>31</v>
      </c>
      <c r="O8" t="s">
        <v>21</v>
      </c>
    </row>
    <row r="9" spans="1:15" ht="15" customHeight="1" x14ac:dyDescent="0.25">
      <c r="A9">
        <v>2</v>
      </c>
      <c r="B9">
        <v>5</v>
      </c>
      <c r="C9" t="s">
        <v>15</v>
      </c>
      <c r="D9" t="s">
        <v>22</v>
      </c>
      <c r="E9">
        <v>9</v>
      </c>
      <c r="F9">
        <v>14</v>
      </c>
      <c r="G9" t="s">
        <v>23</v>
      </c>
      <c r="H9">
        <v>2</v>
      </c>
      <c r="I9">
        <v>2.5</v>
      </c>
      <c r="J9" t="s">
        <v>18</v>
      </c>
      <c r="K9" t="s">
        <v>29</v>
      </c>
      <c r="L9">
        <v>6.5</v>
      </c>
      <c r="M9">
        <v>11</v>
      </c>
      <c r="N9" t="s">
        <v>31</v>
      </c>
      <c r="O9" t="s">
        <v>24</v>
      </c>
    </row>
    <row r="10" spans="1:15" ht="15" customHeight="1" x14ac:dyDescent="0.25">
      <c r="A10">
        <v>2</v>
      </c>
      <c r="B10">
        <v>5</v>
      </c>
      <c r="C10" t="s">
        <v>25</v>
      </c>
      <c r="D10" t="s">
        <v>16</v>
      </c>
      <c r="E10">
        <v>12</v>
      </c>
      <c r="F10">
        <v>16.5</v>
      </c>
      <c r="G10" t="s">
        <v>17</v>
      </c>
      <c r="H10">
        <v>1.3</v>
      </c>
      <c r="I10">
        <v>1.8</v>
      </c>
      <c r="J10" t="s">
        <v>18</v>
      </c>
      <c r="K10" t="s">
        <v>19</v>
      </c>
      <c r="L10">
        <v>5</v>
      </c>
      <c r="M10">
        <v>9</v>
      </c>
      <c r="N10" t="s">
        <v>32</v>
      </c>
      <c r="O10" t="s">
        <v>21</v>
      </c>
    </row>
    <row r="11" spans="1:15" ht="15" customHeight="1" x14ac:dyDescent="0.25">
      <c r="A11">
        <v>2</v>
      </c>
      <c r="B11">
        <v>5</v>
      </c>
      <c r="C11" t="s">
        <v>25</v>
      </c>
      <c r="D11" t="s">
        <v>22</v>
      </c>
      <c r="E11">
        <v>9</v>
      </c>
      <c r="F11">
        <v>14</v>
      </c>
      <c r="G11" t="s">
        <v>23</v>
      </c>
      <c r="H11">
        <v>1.8</v>
      </c>
      <c r="I11">
        <v>2.5</v>
      </c>
      <c r="J11" t="s">
        <v>18</v>
      </c>
      <c r="K11" t="s">
        <v>29</v>
      </c>
      <c r="L11">
        <v>6</v>
      </c>
      <c r="M11">
        <v>10</v>
      </c>
      <c r="N11" t="s">
        <v>32</v>
      </c>
      <c r="O11" t="s">
        <v>24</v>
      </c>
    </row>
    <row r="12" spans="1:15" ht="15" customHeight="1" x14ac:dyDescent="0.25">
      <c r="A12">
        <v>2</v>
      </c>
      <c r="B12">
        <v>5</v>
      </c>
      <c r="C12" t="s">
        <v>28</v>
      </c>
      <c r="D12" t="s">
        <v>16</v>
      </c>
      <c r="E12">
        <v>10</v>
      </c>
      <c r="F12">
        <v>14</v>
      </c>
      <c r="G12" t="s">
        <v>23</v>
      </c>
      <c r="H12">
        <v>1.5</v>
      </c>
      <c r="I12">
        <v>2</v>
      </c>
      <c r="J12" t="s">
        <v>18</v>
      </c>
      <c r="K12" t="s">
        <v>19</v>
      </c>
      <c r="L12">
        <v>5</v>
      </c>
      <c r="M12">
        <v>8</v>
      </c>
      <c r="N12" t="s">
        <v>31</v>
      </c>
      <c r="O12" t="s">
        <v>30</v>
      </c>
    </row>
    <row r="13" spans="1:15" ht="15" customHeight="1" x14ac:dyDescent="0.25">
      <c r="A13">
        <v>2</v>
      </c>
      <c r="B13">
        <v>5</v>
      </c>
      <c r="C13" t="s">
        <v>28</v>
      </c>
      <c r="D13" t="s">
        <v>22</v>
      </c>
      <c r="E13">
        <v>9</v>
      </c>
      <c r="F13">
        <v>12</v>
      </c>
      <c r="G13" t="s">
        <v>23</v>
      </c>
      <c r="H13">
        <v>2</v>
      </c>
      <c r="I13">
        <v>2.5</v>
      </c>
      <c r="J13" t="s">
        <v>18</v>
      </c>
      <c r="K13" t="s">
        <v>29</v>
      </c>
      <c r="L13">
        <v>6</v>
      </c>
      <c r="M13">
        <v>9</v>
      </c>
      <c r="N13" t="s">
        <v>31</v>
      </c>
      <c r="O13" t="s">
        <v>24</v>
      </c>
    </row>
    <row r="14" spans="1:15" ht="15" customHeight="1" x14ac:dyDescent="0.25">
      <c r="A14">
        <v>5</v>
      </c>
      <c r="C14" t="s">
        <v>15</v>
      </c>
      <c r="D14" t="s">
        <v>16</v>
      </c>
      <c r="E14">
        <v>14</v>
      </c>
      <c r="F14">
        <v>17.7</v>
      </c>
      <c r="G14" t="s">
        <v>23</v>
      </c>
      <c r="H14">
        <v>2</v>
      </c>
      <c r="I14">
        <v>3</v>
      </c>
      <c r="J14" t="s">
        <v>18</v>
      </c>
      <c r="K14" t="s">
        <v>19</v>
      </c>
      <c r="L14">
        <v>6</v>
      </c>
      <c r="M14">
        <v>11</v>
      </c>
      <c r="N14" t="s">
        <v>31</v>
      </c>
      <c r="O14" t="s">
        <v>21</v>
      </c>
    </row>
    <row r="15" spans="1:15" ht="15" customHeight="1" x14ac:dyDescent="0.25">
      <c r="A15">
        <v>5</v>
      </c>
      <c r="C15" t="s">
        <v>15</v>
      </c>
      <c r="D15" t="s">
        <v>22</v>
      </c>
      <c r="E15">
        <v>9</v>
      </c>
      <c r="F15">
        <v>14</v>
      </c>
      <c r="G15" t="s">
        <v>23</v>
      </c>
      <c r="H15">
        <v>2.5</v>
      </c>
      <c r="I15">
        <v>3</v>
      </c>
      <c r="J15" t="s">
        <v>18</v>
      </c>
      <c r="K15" t="s">
        <v>29</v>
      </c>
      <c r="L15">
        <v>7</v>
      </c>
      <c r="M15">
        <v>12</v>
      </c>
      <c r="N15" t="s">
        <v>31</v>
      </c>
      <c r="O15" t="s">
        <v>24</v>
      </c>
    </row>
    <row r="16" spans="1:15" ht="15" customHeight="1" x14ac:dyDescent="0.25">
      <c r="A16">
        <v>5</v>
      </c>
      <c r="C16" t="s">
        <v>25</v>
      </c>
      <c r="D16" t="s">
        <v>16</v>
      </c>
      <c r="E16">
        <v>14</v>
      </c>
      <c r="F16">
        <v>17.7</v>
      </c>
      <c r="G16" t="s">
        <v>17</v>
      </c>
      <c r="H16">
        <v>1.8</v>
      </c>
      <c r="I16">
        <v>2.5</v>
      </c>
      <c r="J16" t="s">
        <v>18</v>
      </c>
      <c r="K16" t="s">
        <v>19</v>
      </c>
      <c r="L16">
        <v>5.5</v>
      </c>
      <c r="M16">
        <v>10</v>
      </c>
      <c r="N16" t="s">
        <v>31</v>
      </c>
      <c r="O16" t="s">
        <v>21</v>
      </c>
    </row>
    <row r="17" spans="1:15" ht="28.5" customHeight="1" x14ac:dyDescent="0.25">
      <c r="A17">
        <v>5</v>
      </c>
      <c r="C17" t="s">
        <v>25</v>
      </c>
      <c r="D17" t="s">
        <v>22</v>
      </c>
      <c r="E17">
        <v>9</v>
      </c>
      <c r="F17">
        <v>14</v>
      </c>
      <c r="G17" t="s">
        <v>23</v>
      </c>
      <c r="H17">
        <v>2</v>
      </c>
      <c r="I17">
        <v>3</v>
      </c>
      <c r="J17" t="s">
        <v>18</v>
      </c>
      <c r="K17" t="s">
        <v>19</v>
      </c>
      <c r="L17">
        <v>6.5</v>
      </c>
      <c r="M17">
        <v>11</v>
      </c>
      <c r="N17" t="s">
        <v>31</v>
      </c>
      <c r="O17" t="s">
        <v>24</v>
      </c>
    </row>
    <row r="18" spans="1:15" ht="15" customHeight="1" x14ac:dyDescent="0.25">
      <c r="A18">
        <v>5</v>
      </c>
      <c r="C18" t="s">
        <v>28</v>
      </c>
      <c r="D18" t="s">
        <v>16</v>
      </c>
      <c r="E18">
        <v>10</v>
      </c>
      <c r="F18">
        <v>14</v>
      </c>
      <c r="G18" t="s">
        <v>23</v>
      </c>
      <c r="H18">
        <v>2</v>
      </c>
      <c r="I18">
        <v>3</v>
      </c>
      <c r="J18" t="s">
        <v>18</v>
      </c>
      <c r="K18" t="s">
        <v>19</v>
      </c>
      <c r="L18">
        <v>5</v>
      </c>
      <c r="M18">
        <v>8.5</v>
      </c>
      <c r="N18" t="s">
        <v>31</v>
      </c>
      <c r="O18" t="s">
        <v>30</v>
      </c>
    </row>
    <row r="19" spans="1:15" ht="15" customHeight="1" x14ac:dyDescent="0.25">
      <c r="A19">
        <v>5</v>
      </c>
      <c r="C19" t="s">
        <v>28</v>
      </c>
      <c r="D19" t="s">
        <v>22</v>
      </c>
      <c r="E19">
        <v>9</v>
      </c>
      <c r="F19">
        <v>12</v>
      </c>
      <c r="G19" t="s">
        <v>23</v>
      </c>
      <c r="H19">
        <v>2.5</v>
      </c>
      <c r="I19">
        <v>3</v>
      </c>
      <c r="J19" t="s">
        <v>18</v>
      </c>
      <c r="K19" t="s">
        <v>29</v>
      </c>
      <c r="L19">
        <v>6</v>
      </c>
      <c r="M19">
        <v>9.5</v>
      </c>
      <c r="N19" t="s">
        <v>31</v>
      </c>
      <c r="O19" t="s">
        <v>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Normal="100" workbookViewId="0">
      <selection activeCell="E4" sqref="E4:E5"/>
    </sheetView>
  </sheetViews>
  <sheetFormatPr defaultColWidth="8.7109375" defaultRowHeight="15" x14ac:dyDescent="0.25"/>
  <cols>
    <col min="1" max="2" width="16" style="1" customWidth="1"/>
    <col min="3" max="3" width="17.7109375" style="1" customWidth="1"/>
    <col min="4" max="5" width="13.28515625" style="1" customWidth="1"/>
    <col min="6" max="6" width="12.140625" style="1" customWidth="1"/>
    <col min="7" max="7" width="13.85546875" style="1" customWidth="1"/>
    <col min="8" max="8" width="13.28515625" style="1" customWidth="1"/>
    <col min="9" max="9" width="7" style="1" customWidth="1"/>
    <col min="10" max="10" width="7.140625" style="1" customWidth="1"/>
    <col min="11" max="12" width="11.85546875" style="1" customWidth="1"/>
  </cols>
  <sheetData>
    <row r="1" spans="1:12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t="s">
        <v>33</v>
      </c>
      <c r="F1" t="s">
        <v>6</v>
      </c>
      <c r="G1" t="s">
        <v>34</v>
      </c>
      <c r="H1" t="s">
        <v>9</v>
      </c>
      <c r="I1" t="s">
        <v>10</v>
      </c>
      <c r="J1" t="s">
        <v>35</v>
      </c>
      <c r="K1" t="s">
        <v>13</v>
      </c>
      <c r="L1" t="s">
        <v>14</v>
      </c>
    </row>
    <row r="2" spans="1:12" ht="15" customHeight="1" x14ac:dyDescent="0.25">
      <c r="A2">
        <v>0</v>
      </c>
      <c r="B2">
        <v>2</v>
      </c>
      <c r="C2" t="s">
        <v>15</v>
      </c>
      <c r="D2" t="s">
        <v>16</v>
      </c>
      <c r="E2">
        <v>3</v>
      </c>
      <c r="F2">
        <v>4</v>
      </c>
      <c r="G2">
        <v>1</v>
      </c>
      <c r="H2">
        <v>2</v>
      </c>
      <c r="I2">
        <v>2</v>
      </c>
      <c r="J2">
        <v>3</v>
      </c>
      <c r="K2">
        <v>4</v>
      </c>
      <c r="L2">
        <v>3</v>
      </c>
    </row>
    <row r="3" spans="1:12" ht="15" customHeight="1" x14ac:dyDescent="0.25">
      <c r="A3">
        <v>0</v>
      </c>
      <c r="B3">
        <v>2</v>
      </c>
      <c r="C3" t="s">
        <v>15</v>
      </c>
      <c r="D3" t="s">
        <v>22</v>
      </c>
      <c r="E3">
        <v>4</v>
      </c>
      <c r="F3">
        <v>2</v>
      </c>
      <c r="G3">
        <v>1</v>
      </c>
      <c r="H3">
        <v>1</v>
      </c>
      <c r="I3">
        <v>1</v>
      </c>
      <c r="J3">
        <v>3</v>
      </c>
      <c r="K3">
        <v>2</v>
      </c>
      <c r="L3">
        <v>4</v>
      </c>
    </row>
    <row r="4" spans="1:12" ht="15" customHeight="1" x14ac:dyDescent="0.25">
      <c r="A4">
        <v>0</v>
      </c>
      <c r="B4">
        <v>2</v>
      </c>
      <c r="C4" t="s">
        <v>25</v>
      </c>
      <c r="D4" t="s">
        <v>16</v>
      </c>
      <c r="E4">
        <v>1</v>
      </c>
      <c r="F4">
        <v>3</v>
      </c>
      <c r="G4">
        <v>1</v>
      </c>
      <c r="H4">
        <v>2</v>
      </c>
      <c r="I4">
        <v>3</v>
      </c>
      <c r="J4">
        <v>3</v>
      </c>
      <c r="K4">
        <v>3</v>
      </c>
      <c r="L4">
        <v>4</v>
      </c>
    </row>
    <row r="5" spans="1:12" ht="15" customHeight="1" x14ac:dyDescent="0.25">
      <c r="A5">
        <v>0</v>
      </c>
      <c r="B5">
        <v>2</v>
      </c>
      <c r="C5" t="s">
        <v>25</v>
      </c>
      <c r="D5" t="s">
        <v>22</v>
      </c>
      <c r="E5">
        <v>1</v>
      </c>
      <c r="F5">
        <v>4</v>
      </c>
      <c r="G5">
        <v>1</v>
      </c>
      <c r="H5">
        <v>2</v>
      </c>
      <c r="I5">
        <v>2</v>
      </c>
      <c r="J5">
        <v>3</v>
      </c>
      <c r="K5">
        <v>3</v>
      </c>
      <c r="L5">
        <v>4</v>
      </c>
    </row>
    <row r="6" spans="1:12" ht="15" customHeight="1" x14ac:dyDescent="0.25">
      <c r="A6">
        <v>0</v>
      </c>
      <c r="B6">
        <v>2</v>
      </c>
      <c r="C6" t="s">
        <v>28</v>
      </c>
      <c r="D6" t="s">
        <v>16</v>
      </c>
      <c r="E6">
        <v>4</v>
      </c>
      <c r="F6">
        <v>2</v>
      </c>
      <c r="G6">
        <v>2</v>
      </c>
      <c r="H6">
        <v>2</v>
      </c>
      <c r="I6">
        <v>2</v>
      </c>
      <c r="J6">
        <v>1</v>
      </c>
      <c r="K6">
        <v>1</v>
      </c>
      <c r="L6">
        <v>3</v>
      </c>
    </row>
    <row r="7" spans="1:12" ht="15" customHeight="1" x14ac:dyDescent="0.25">
      <c r="A7">
        <v>0</v>
      </c>
      <c r="B7">
        <v>2</v>
      </c>
      <c r="C7" t="s">
        <v>28</v>
      </c>
      <c r="D7" t="s">
        <v>22</v>
      </c>
      <c r="E7">
        <v>4</v>
      </c>
      <c r="F7">
        <v>2</v>
      </c>
      <c r="G7">
        <v>2</v>
      </c>
      <c r="H7">
        <v>2</v>
      </c>
      <c r="I7">
        <v>2</v>
      </c>
      <c r="J7">
        <v>1</v>
      </c>
      <c r="K7">
        <v>1</v>
      </c>
      <c r="L7">
        <v>3</v>
      </c>
    </row>
    <row r="8" spans="1:12" ht="15" customHeight="1" x14ac:dyDescent="0.25">
      <c r="A8">
        <v>2</v>
      </c>
      <c r="B8">
        <v>5</v>
      </c>
      <c r="C8" t="s">
        <v>15</v>
      </c>
      <c r="D8" t="s">
        <v>16</v>
      </c>
      <c r="E8">
        <v>3</v>
      </c>
      <c r="F8">
        <v>4</v>
      </c>
      <c r="G8">
        <v>1</v>
      </c>
      <c r="H8">
        <v>2</v>
      </c>
      <c r="I8">
        <v>2</v>
      </c>
      <c r="J8">
        <v>3</v>
      </c>
      <c r="K8">
        <v>4</v>
      </c>
      <c r="L8">
        <v>3</v>
      </c>
    </row>
    <row r="9" spans="1:12" ht="15" customHeight="1" x14ac:dyDescent="0.25">
      <c r="A9">
        <v>2</v>
      </c>
      <c r="B9">
        <v>5</v>
      </c>
      <c r="C9" t="s">
        <v>15</v>
      </c>
      <c r="D9" t="s">
        <v>22</v>
      </c>
      <c r="E9">
        <v>4</v>
      </c>
      <c r="F9">
        <v>2</v>
      </c>
      <c r="G9">
        <v>1</v>
      </c>
      <c r="H9">
        <v>1</v>
      </c>
      <c r="I9">
        <v>1</v>
      </c>
      <c r="J9">
        <v>3</v>
      </c>
      <c r="K9">
        <v>2</v>
      </c>
      <c r="L9">
        <v>4</v>
      </c>
    </row>
    <row r="10" spans="1:12" ht="15" customHeight="1" x14ac:dyDescent="0.25">
      <c r="A10">
        <v>2</v>
      </c>
      <c r="B10">
        <v>5</v>
      </c>
      <c r="C10" t="s">
        <v>25</v>
      </c>
      <c r="D10" t="s">
        <v>16</v>
      </c>
      <c r="E10">
        <v>1</v>
      </c>
      <c r="F10">
        <v>3</v>
      </c>
      <c r="G10">
        <v>1</v>
      </c>
      <c r="H10">
        <v>2</v>
      </c>
      <c r="I10">
        <v>3</v>
      </c>
      <c r="J10">
        <v>3</v>
      </c>
      <c r="K10">
        <v>3</v>
      </c>
      <c r="L10">
        <v>4</v>
      </c>
    </row>
    <row r="11" spans="1:12" ht="15" customHeight="1" x14ac:dyDescent="0.25">
      <c r="A11">
        <v>2</v>
      </c>
      <c r="B11">
        <v>5</v>
      </c>
      <c r="C11" t="s">
        <v>25</v>
      </c>
      <c r="D11" t="s">
        <v>22</v>
      </c>
      <c r="E11">
        <v>1</v>
      </c>
      <c r="F11">
        <v>4</v>
      </c>
      <c r="G11">
        <v>1</v>
      </c>
      <c r="H11">
        <v>2</v>
      </c>
      <c r="I11">
        <v>2</v>
      </c>
      <c r="J11">
        <v>3</v>
      </c>
      <c r="K11">
        <v>3</v>
      </c>
      <c r="L11">
        <v>4</v>
      </c>
    </row>
    <row r="12" spans="1:12" ht="15" customHeight="1" x14ac:dyDescent="0.25">
      <c r="A12">
        <v>2</v>
      </c>
      <c r="B12">
        <v>5</v>
      </c>
      <c r="C12" t="s">
        <v>28</v>
      </c>
      <c r="D12" t="s">
        <v>16</v>
      </c>
      <c r="E12">
        <v>4</v>
      </c>
      <c r="F12">
        <v>2</v>
      </c>
      <c r="G12">
        <v>2</v>
      </c>
      <c r="H12">
        <v>2</v>
      </c>
      <c r="I12">
        <v>2</v>
      </c>
      <c r="J12">
        <v>1</v>
      </c>
      <c r="K12">
        <v>1</v>
      </c>
      <c r="L12">
        <v>3</v>
      </c>
    </row>
    <row r="13" spans="1:12" ht="15" customHeight="1" x14ac:dyDescent="0.25">
      <c r="A13">
        <v>2</v>
      </c>
      <c r="B13">
        <v>5</v>
      </c>
      <c r="C13" t="s">
        <v>28</v>
      </c>
      <c r="D13" t="s">
        <v>22</v>
      </c>
      <c r="E13">
        <v>4</v>
      </c>
      <c r="F13">
        <v>2</v>
      </c>
      <c r="G13">
        <v>2</v>
      </c>
      <c r="H13">
        <v>2</v>
      </c>
      <c r="I13">
        <v>2</v>
      </c>
      <c r="J13">
        <v>1</v>
      </c>
      <c r="K13">
        <v>1</v>
      </c>
      <c r="L13">
        <v>3</v>
      </c>
    </row>
    <row r="14" spans="1:12" ht="15" customHeight="1" x14ac:dyDescent="0.25">
      <c r="A14">
        <v>5</v>
      </c>
      <c r="C14" t="s">
        <v>15</v>
      </c>
      <c r="D14" t="s">
        <v>16</v>
      </c>
      <c r="E14">
        <v>3</v>
      </c>
      <c r="F14">
        <v>4</v>
      </c>
      <c r="G14">
        <v>1</v>
      </c>
      <c r="H14">
        <v>2</v>
      </c>
      <c r="I14">
        <v>2</v>
      </c>
      <c r="J14">
        <v>3</v>
      </c>
      <c r="K14">
        <v>4</v>
      </c>
      <c r="L14">
        <v>3</v>
      </c>
    </row>
    <row r="15" spans="1:12" ht="15" customHeight="1" x14ac:dyDescent="0.25">
      <c r="A15">
        <v>5</v>
      </c>
      <c r="C15" t="s">
        <v>15</v>
      </c>
      <c r="D15" t="s">
        <v>22</v>
      </c>
      <c r="E15">
        <v>4</v>
      </c>
      <c r="F15">
        <v>2</v>
      </c>
      <c r="G15">
        <v>1</v>
      </c>
      <c r="H15">
        <v>1</v>
      </c>
      <c r="I15">
        <v>1</v>
      </c>
      <c r="J15">
        <v>3</v>
      </c>
      <c r="K15">
        <v>2</v>
      </c>
      <c r="L15">
        <v>4</v>
      </c>
    </row>
    <row r="16" spans="1:12" ht="15" customHeight="1" x14ac:dyDescent="0.25">
      <c r="A16">
        <v>5</v>
      </c>
      <c r="C16" t="s">
        <v>25</v>
      </c>
      <c r="D16" t="s">
        <v>16</v>
      </c>
      <c r="E16">
        <v>1</v>
      </c>
      <c r="F16">
        <v>3</v>
      </c>
      <c r="G16">
        <v>1</v>
      </c>
      <c r="H16">
        <v>2</v>
      </c>
      <c r="I16">
        <v>3</v>
      </c>
      <c r="J16">
        <v>3</v>
      </c>
      <c r="K16">
        <v>3</v>
      </c>
      <c r="L16">
        <v>4</v>
      </c>
    </row>
    <row r="17" spans="1:12" ht="15" customHeight="1" x14ac:dyDescent="0.25">
      <c r="A17">
        <v>5</v>
      </c>
      <c r="C17" t="s">
        <v>25</v>
      </c>
      <c r="D17" t="s">
        <v>22</v>
      </c>
      <c r="E17">
        <v>1</v>
      </c>
      <c r="F17">
        <v>4</v>
      </c>
      <c r="G17">
        <v>1</v>
      </c>
      <c r="H17">
        <v>2</v>
      </c>
      <c r="I17">
        <v>2</v>
      </c>
      <c r="J17">
        <v>3</v>
      </c>
      <c r="K17">
        <v>3</v>
      </c>
      <c r="L17">
        <v>4</v>
      </c>
    </row>
    <row r="18" spans="1:12" ht="15" customHeight="1" x14ac:dyDescent="0.25">
      <c r="A18">
        <v>5</v>
      </c>
      <c r="C18" t="s">
        <v>28</v>
      </c>
      <c r="D18" t="s">
        <v>16</v>
      </c>
      <c r="E18">
        <v>4</v>
      </c>
      <c r="F18">
        <v>2</v>
      </c>
      <c r="G18">
        <v>2</v>
      </c>
      <c r="H18">
        <v>2</v>
      </c>
      <c r="I18">
        <v>2</v>
      </c>
      <c r="J18">
        <v>1</v>
      </c>
      <c r="K18">
        <v>1</v>
      </c>
      <c r="L18">
        <v>3</v>
      </c>
    </row>
    <row r="19" spans="1:12" ht="15" customHeight="1" x14ac:dyDescent="0.25">
      <c r="A19">
        <v>5</v>
      </c>
      <c r="C19" t="s">
        <v>28</v>
      </c>
      <c r="D19" t="s">
        <v>22</v>
      </c>
      <c r="E19">
        <v>4</v>
      </c>
      <c r="F19">
        <v>2</v>
      </c>
      <c r="G19">
        <v>2</v>
      </c>
      <c r="H19">
        <v>2</v>
      </c>
      <c r="I19">
        <v>2</v>
      </c>
      <c r="J19">
        <v>1</v>
      </c>
      <c r="K19">
        <v>1</v>
      </c>
      <c r="L19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B8" sqref="B8:C8"/>
    </sheetView>
  </sheetViews>
  <sheetFormatPr defaultColWidth="8.7109375" defaultRowHeight="15" x14ac:dyDescent="0.25"/>
  <cols>
    <col min="1" max="1" width="24" style="1" customWidth="1"/>
    <col min="2" max="2" width="22" style="1" customWidth="1"/>
    <col min="3" max="3" width="14" style="1" customWidth="1"/>
    <col min="4" max="4" width="20" style="1" customWidth="1"/>
    <col min="5" max="5" width="14" style="1" customWidth="1"/>
    <col min="6" max="6" width="13" style="1" customWidth="1"/>
    <col min="7" max="7" width="8" style="1" customWidth="1"/>
    <col min="8" max="8" width="10" style="1" customWidth="1"/>
    <col min="9" max="10" width="40" style="1" customWidth="1"/>
  </cols>
  <sheetData>
    <row r="1" spans="1:10" ht="15" customHeight="1" x14ac:dyDescent="0.25">
      <c r="A1" s="2" t="s">
        <v>36</v>
      </c>
      <c r="B1" s="2" t="s">
        <v>37</v>
      </c>
      <c r="C1" s="2" t="s">
        <v>33</v>
      </c>
      <c r="D1" s="2" t="s">
        <v>6</v>
      </c>
      <c r="E1" s="2" t="s">
        <v>34</v>
      </c>
      <c r="F1" s="2" t="s">
        <v>9</v>
      </c>
      <c r="G1" s="2" t="s">
        <v>10</v>
      </c>
      <c r="H1" s="2" t="s">
        <v>35</v>
      </c>
      <c r="I1" s="2" t="s">
        <v>13</v>
      </c>
      <c r="J1" s="2" t="s">
        <v>14</v>
      </c>
    </row>
    <row r="2" spans="1:10" ht="15" customHeight="1" x14ac:dyDescent="0.25">
      <c r="A2" t="s">
        <v>38</v>
      </c>
      <c r="B2" t="s">
        <v>39</v>
      </c>
      <c r="C2" t="s">
        <v>40</v>
      </c>
      <c r="D2" t="s">
        <v>23</v>
      </c>
      <c r="E2" t="s">
        <v>41</v>
      </c>
      <c r="F2" t="s">
        <v>18</v>
      </c>
      <c r="G2" t="s">
        <v>42</v>
      </c>
      <c r="H2" t="s">
        <v>43</v>
      </c>
      <c r="I2" t="s">
        <v>31</v>
      </c>
      <c r="J2" t="s">
        <v>30</v>
      </c>
    </row>
    <row r="3" spans="1:10" ht="15" customHeight="1" x14ac:dyDescent="0.25">
      <c r="A3" t="s">
        <v>44</v>
      </c>
      <c r="B3" t="s">
        <v>39</v>
      </c>
      <c r="C3" t="s">
        <v>40</v>
      </c>
      <c r="D3" t="s">
        <v>23</v>
      </c>
      <c r="E3" t="s">
        <v>41</v>
      </c>
      <c r="F3" t="s">
        <v>18</v>
      </c>
      <c r="G3" t="s">
        <v>42</v>
      </c>
      <c r="H3" t="s">
        <v>43</v>
      </c>
      <c r="I3" t="s">
        <v>45</v>
      </c>
      <c r="J3" t="s">
        <v>30</v>
      </c>
    </row>
    <row r="4" spans="1:10" ht="15" customHeight="1" x14ac:dyDescent="0.25">
      <c r="A4" t="s">
        <v>46</v>
      </c>
      <c r="B4" t="s">
        <v>39</v>
      </c>
      <c r="C4" t="s">
        <v>47</v>
      </c>
      <c r="D4" t="s">
        <v>23</v>
      </c>
      <c r="E4" t="s">
        <v>48</v>
      </c>
      <c r="F4" t="s">
        <v>18</v>
      </c>
      <c r="G4" t="s">
        <v>42</v>
      </c>
      <c r="H4" t="s">
        <v>49</v>
      </c>
      <c r="I4" t="s">
        <v>45</v>
      </c>
      <c r="J4" t="s">
        <v>50</v>
      </c>
    </row>
    <row r="5" spans="1:10" ht="15" customHeight="1" x14ac:dyDescent="0.25">
      <c r="A5" t="s">
        <v>51</v>
      </c>
      <c r="B5" t="s">
        <v>39</v>
      </c>
      <c r="C5" t="s">
        <v>52</v>
      </c>
      <c r="D5" t="s">
        <v>23</v>
      </c>
      <c r="E5" t="s">
        <v>53</v>
      </c>
      <c r="F5" t="s">
        <v>18</v>
      </c>
      <c r="G5" t="s">
        <v>42</v>
      </c>
      <c r="H5" t="s">
        <v>54</v>
      </c>
      <c r="I5" t="s">
        <v>31</v>
      </c>
      <c r="J5" t="s">
        <v>50</v>
      </c>
    </row>
    <row r="6" spans="1:10" ht="15" customHeight="1" x14ac:dyDescent="0.25">
      <c r="A6" t="s">
        <v>55</v>
      </c>
      <c r="B6" t="s">
        <v>39</v>
      </c>
      <c r="C6" t="s">
        <v>47</v>
      </c>
      <c r="D6" t="s">
        <v>23</v>
      </c>
      <c r="E6" t="s">
        <v>53</v>
      </c>
      <c r="F6" t="s">
        <v>18</v>
      </c>
      <c r="G6" t="s">
        <v>42</v>
      </c>
      <c r="H6" t="s">
        <v>56</v>
      </c>
      <c r="I6" t="s">
        <v>31</v>
      </c>
      <c r="J6" t="s">
        <v>57</v>
      </c>
    </row>
    <row r="7" spans="1:10" ht="15" customHeight="1" x14ac:dyDescent="0.25">
      <c r="A7" t="s">
        <v>58</v>
      </c>
      <c r="B7" t="s">
        <v>39</v>
      </c>
      <c r="C7" t="s">
        <v>40</v>
      </c>
      <c r="D7" t="s">
        <v>59</v>
      </c>
      <c r="E7" t="s">
        <v>41</v>
      </c>
      <c r="F7" t="s">
        <v>18</v>
      </c>
      <c r="G7" t="s">
        <v>42</v>
      </c>
      <c r="H7" t="s">
        <v>60</v>
      </c>
      <c r="I7" t="s">
        <v>31</v>
      </c>
      <c r="J7" t="s">
        <v>30</v>
      </c>
    </row>
    <row r="8" spans="1:10" ht="15" customHeight="1" x14ac:dyDescent="0.25">
      <c r="A8" t="s">
        <v>61</v>
      </c>
      <c r="B8" t="s">
        <v>39</v>
      </c>
      <c r="C8" t="s">
        <v>62</v>
      </c>
      <c r="D8" t="s">
        <v>59</v>
      </c>
      <c r="E8" t="s">
        <v>41</v>
      </c>
      <c r="F8" t="s">
        <v>18</v>
      </c>
      <c r="G8" t="s">
        <v>42</v>
      </c>
      <c r="H8" t="s">
        <v>63</v>
      </c>
      <c r="I8" t="s">
        <v>31</v>
      </c>
      <c r="J8" t="s">
        <v>30</v>
      </c>
    </row>
    <row r="9" spans="1:10" ht="15" customHeight="1" x14ac:dyDescent="0.25">
      <c r="A9" t="s">
        <v>64</v>
      </c>
      <c r="B9" t="s">
        <v>39</v>
      </c>
      <c r="C9" t="s">
        <v>65</v>
      </c>
      <c r="D9" t="s">
        <v>59</v>
      </c>
      <c r="E9" t="s">
        <v>66</v>
      </c>
      <c r="F9" t="s">
        <v>67</v>
      </c>
      <c r="H9" t="s">
        <v>68</v>
      </c>
      <c r="I9" t="s">
        <v>69</v>
      </c>
      <c r="J9" t="s">
        <v>57</v>
      </c>
    </row>
    <row r="10" spans="1:10" ht="15" customHeight="1" x14ac:dyDescent="0.25">
      <c r="A10" t="s">
        <v>70</v>
      </c>
      <c r="B10" t="s">
        <v>71</v>
      </c>
      <c r="C10" t="s">
        <v>65</v>
      </c>
      <c r="D10" t="s">
        <v>59</v>
      </c>
      <c r="E10" t="s">
        <v>72</v>
      </c>
      <c r="F10" t="s">
        <v>73</v>
      </c>
      <c r="H10" t="s">
        <v>74</v>
      </c>
      <c r="I10" t="s">
        <v>69</v>
      </c>
      <c r="J10" t="s">
        <v>57</v>
      </c>
    </row>
    <row r="11" spans="1:10" ht="15" customHeight="1" x14ac:dyDescent="0.25">
      <c r="A11" t="s">
        <v>75</v>
      </c>
      <c r="B11" t="s">
        <v>71</v>
      </c>
      <c r="C11" t="s">
        <v>76</v>
      </c>
      <c r="D11" t="s">
        <v>23</v>
      </c>
      <c r="E11" t="s">
        <v>72</v>
      </c>
      <c r="F11" t="s">
        <v>67</v>
      </c>
      <c r="H11" t="s">
        <v>77</v>
      </c>
      <c r="I11" t="s">
        <v>69</v>
      </c>
      <c r="J11" t="s">
        <v>30</v>
      </c>
    </row>
    <row r="12" spans="1:10" ht="15" customHeight="1" x14ac:dyDescent="0.25">
      <c r="A12" t="s">
        <v>78</v>
      </c>
      <c r="B12" t="s">
        <v>71</v>
      </c>
      <c r="C12" t="s">
        <v>79</v>
      </c>
      <c r="D12" t="s">
        <v>23</v>
      </c>
      <c r="E12" t="s">
        <v>80</v>
      </c>
      <c r="F12" t="s">
        <v>67</v>
      </c>
      <c r="H12" t="s">
        <v>81</v>
      </c>
      <c r="I12" t="s">
        <v>69</v>
      </c>
      <c r="J12" t="s">
        <v>30</v>
      </c>
    </row>
    <row r="13" spans="1:10" ht="15" customHeight="1" x14ac:dyDescent="0.25">
      <c r="A13" t="s">
        <v>82</v>
      </c>
      <c r="B13" t="s">
        <v>71</v>
      </c>
      <c r="C13" t="s">
        <v>76</v>
      </c>
      <c r="D13" t="s">
        <v>59</v>
      </c>
      <c r="E13" t="s">
        <v>72</v>
      </c>
      <c r="F13" t="s">
        <v>67</v>
      </c>
      <c r="H13" t="s">
        <v>83</v>
      </c>
      <c r="I13" t="s">
        <v>69</v>
      </c>
      <c r="J13" t="s">
        <v>57</v>
      </c>
    </row>
    <row r="14" spans="1:10" ht="15" customHeight="1" x14ac:dyDescent="0.25">
      <c r="A14" t="s">
        <v>84</v>
      </c>
      <c r="B14" t="s">
        <v>71</v>
      </c>
      <c r="C14" t="s">
        <v>85</v>
      </c>
      <c r="D14" t="s">
        <v>23</v>
      </c>
      <c r="E14" t="s">
        <v>53</v>
      </c>
      <c r="F14" t="s">
        <v>18</v>
      </c>
      <c r="G14" t="s">
        <v>29</v>
      </c>
      <c r="H14" t="s">
        <v>86</v>
      </c>
      <c r="I14" t="s">
        <v>69</v>
      </c>
      <c r="J14" t="s">
        <v>24</v>
      </c>
    </row>
    <row r="15" spans="1:10" ht="15" customHeight="1" x14ac:dyDescent="0.25">
      <c r="A15" t="s">
        <v>87</v>
      </c>
      <c r="B15" t="s">
        <v>71</v>
      </c>
      <c r="C15" t="s">
        <v>88</v>
      </c>
      <c r="D15" t="s">
        <v>23</v>
      </c>
      <c r="E15" t="s">
        <v>48</v>
      </c>
      <c r="F15" t="s">
        <v>18</v>
      </c>
      <c r="G15" t="s">
        <v>29</v>
      </c>
      <c r="H15" t="s">
        <v>89</v>
      </c>
      <c r="I15" t="s">
        <v>69</v>
      </c>
      <c r="J15" t="s">
        <v>30</v>
      </c>
    </row>
    <row r="16" spans="1:10" ht="15" customHeight="1" x14ac:dyDescent="0.25">
      <c r="A16" t="s">
        <v>90</v>
      </c>
      <c r="B16" t="s">
        <v>91</v>
      </c>
      <c r="C16" t="s">
        <v>92</v>
      </c>
      <c r="D16" t="s">
        <v>23</v>
      </c>
      <c r="E16" t="s">
        <v>93</v>
      </c>
      <c r="F16" t="s">
        <v>18</v>
      </c>
      <c r="G16" t="s">
        <v>29</v>
      </c>
      <c r="H16" t="s">
        <v>94</v>
      </c>
      <c r="I16" t="s">
        <v>31</v>
      </c>
      <c r="J16" t="s">
        <v>30</v>
      </c>
    </row>
    <row r="17" spans="1:10" ht="15" customHeight="1" x14ac:dyDescent="0.25">
      <c r="A17" t="s">
        <v>95</v>
      </c>
      <c r="B17" t="s">
        <v>91</v>
      </c>
      <c r="C17" t="s">
        <v>92</v>
      </c>
      <c r="D17" t="s">
        <v>23</v>
      </c>
      <c r="E17" t="s">
        <v>96</v>
      </c>
      <c r="F17" t="s">
        <v>18</v>
      </c>
      <c r="G17" t="s">
        <v>29</v>
      </c>
      <c r="H17" t="s">
        <v>97</v>
      </c>
      <c r="I17" t="s">
        <v>20</v>
      </c>
      <c r="J17" t="s">
        <v>30</v>
      </c>
    </row>
    <row r="18" spans="1:10" ht="15" customHeight="1" x14ac:dyDescent="0.25">
      <c r="A18" t="s">
        <v>98</v>
      </c>
      <c r="B18" t="s">
        <v>91</v>
      </c>
      <c r="C18" t="s">
        <v>92</v>
      </c>
      <c r="D18" t="s">
        <v>23</v>
      </c>
      <c r="E18" t="s">
        <v>99</v>
      </c>
      <c r="F18" t="s">
        <v>18</v>
      </c>
      <c r="G18" t="s">
        <v>29</v>
      </c>
      <c r="H18" t="s">
        <v>100</v>
      </c>
      <c r="I18" t="s">
        <v>20</v>
      </c>
      <c r="J18" t="s">
        <v>30</v>
      </c>
    </row>
    <row r="19" spans="1:10" ht="15" customHeight="1" x14ac:dyDescent="0.25">
      <c r="A19" t="s">
        <v>101</v>
      </c>
      <c r="B19" t="s">
        <v>102</v>
      </c>
      <c r="C19" t="s">
        <v>76</v>
      </c>
      <c r="D19" t="s">
        <v>23</v>
      </c>
      <c r="E19" t="s">
        <v>41</v>
      </c>
      <c r="F19" t="s">
        <v>18</v>
      </c>
      <c r="G19" t="s">
        <v>42</v>
      </c>
      <c r="H19" t="s">
        <v>86</v>
      </c>
      <c r="I19" t="s">
        <v>31</v>
      </c>
      <c r="J19" t="s">
        <v>30</v>
      </c>
    </row>
    <row r="20" spans="1:10" ht="15" customHeight="1" x14ac:dyDescent="0.25">
      <c r="A20" t="s">
        <v>103</v>
      </c>
      <c r="B20" t="s">
        <v>102</v>
      </c>
      <c r="C20" t="s">
        <v>79</v>
      </c>
      <c r="D20" t="s">
        <v>23</v>
      </c>
      <c r="E20" t="s">
        <v>53</v>
      </c>
      <c r="F20" t="s">
        <v>18</v>
      </c>
      <c r="G20" t="s">
        <v>42</v>
      </c>
      <c r="H20" t="s">
        <v>104</v>
      </c>
      <c r="I20" t="s">
        <v>31</v>
      </c>
      <c r="J20" t="s">
        <v>105</v>
      </c>
    </row>
    <row r="21" spans="1:10" ht="15" customHeight="1" x14ac:dyDescent="0.25">
      <c r="A21" t="s">
        <v>106</v>
      </c>
      <c r="B21" t="s">
        <v>102</v>
      </c>
      <c r="C21" t="s">
        <v>79</v>
      </c>
      <c r="D21" t="s">
        <v>59</v>
      </c>
      <c r="E21" t="s">
        <v>53</v>
      </c>
      <c r="F21" t="s">
        <v>18</v>
      </c>
      <c r="G21" t="s">
        <v>42</v>
      </c>
      <c r="H21" t="s">
        <v>107</v>
      </c>
      <c r="I21" t="s">
        <v>31</v>
      </c>
      <c r="J21" t="s">
        <v>108</v>
      </c>
    </row>
    <row r="22" spans="1:10" ht="15" customHeight="1" x14ac:dyDescent="0.25">
      <c r="A22" t="s">
        <v>109</v>
      </c>
      <c r="B22" t="s">
        <v>102</v>
      </c>
      <c r="C22" t="s">
        <v>76</v>
      </c>
      <c r="D22" t="s">
        <v>23</v>
      </c>
      <c r="E22" t="s">
        <v>110</v>
      </c>
      <c r="F22" t="s">
        <v>18</v>
      </c>
      <c r="G22" t="s">
        <v>29</v>
      </c>
      <c r="H22" t="s">
        <v>111</v>
      </c>
      <c r="I22" t="s">
        <v>31</v>
      </c>
      <c r="J22" t="s">
        <v>50</v>
      </c>
    </row>
    <row r="23" spans="1:10" ht="15" customHeight="1" x14ac:dyDescent="0.25">
      <c r="A23" t="s">
        <v>112</v>
      </c>
      <c r="B23" t="s">
        <v>113</v>
      </c>
      <c r="C23" t="s">
        <v>40</v>
      </c>
      <c r="D23" t="s">
        <v>23</v>
      </c>
      <c r="E23" t="s">
        <v>53</v>
      </c>
      <c r="F23" t="s">
        <v>18</v>
      </c>
      <c r="G23" t="s">
        <v>29</v>
      </c>
      <c r="H23" t="s">
        <v>77</v>
      </c>
      <c r="I23" t="s">
        <v>114</v>
      </c>
      <c r="J23" t="s">
        <v>115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>
      <selection activeCell="E28" sqref="E28"/>
    </sheetView>
  </sheetViews>
  <sheetFormatPr defaultColWidth="8.7109375" defaultRowHeight="15" x14ac:dyDescent="0.25"/>
  <sheetData>
    <row r="1" spans="1:2" ht="15" customHeight="1" x14ac:dyDescent="0.25">
      <c r="A1" t="s">
        <v>116</v>
      </c>
      <c r="B1" t="s">
        <v>117</v>
      </c>
    </row>
    <row r="2" spans="1:2" ht="15" customHeight="1" x14ac:dyDescent="0.25">
      <c r="A2">
        <v>1</v>
      </c>
      <c r="B2">
        <v>100</v>
      </c>
    </row>
    <row r="3" spans="1:2" ht="15" customHeight="1" x14ac:dyDescent="0.25">
      <c r="A3">
        <v>2</v>
      </c>
      <c r="B3">
        <v>90</v>
      </c>
    </row>
    <row r="4" spans="1:2" ht="15" customHeight="1" x14ac:dyDescent="0.25">
      <c r="A4">
        <v>3</v>
      </c>
      <c r="B4">
        <v>70</v>
      </c>
    </row>
    <row r="5" spans="1:2" ht="15" customHeight="1" x14ac:dyDescent="0.25">
      <c r="A5">
        <v>4</v>
      </c>
      <c r="B5">
        <v>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Normal="100" workbookViewId="0">
      <selection activeCell="D8" sqref="D8"/>
    </sheetView>
  </sheetViews>
  <sheetFormatPr defaultColWidth="8.7109375" defaultRowHeight="15" x14ac:dyDescent="0.25"/>
  <cols>
    <col min="2" max="2" width="24.5703125" style="1" customWidth="1"/>
  </cols>
  <sheetData>
    <row r="1" spans="1:6" ht="15" customHeight="1" x14ac:dyDescent="0.25">
      <c r="A1" s="4" t="s">
        <v>118</v>
      </c>
      <c r="B1" s="4" t="s">
        <v>119</v>
      </c>
      <c r="C1" s="4" t="s">
        <v>120</v>
      </c>
      <c r="D1" s="4" t="s">
        <v>121</v>
      </c>
      <c r="E1" s="4" t="s">
        <v>122</v>
      </c>
      <c r="F1" t="s">
        <v>123</v>
      </c>
    </row>
    <row r="2" spans="1:6" ht="15" customHeight="1" x14ac:dyDescent="0.25">
      <c r="A2" t="s">
        <v>124</v>
      </c>
      <c r="C2" t="s">
        <v>125</v>
      </c>
      <c r="E2" t="s">
        <v>126</v>
      </c>
    </row>
    <row r="3" spans="1:6" ht="15" customHeight="1" x14ac:dyDescent="0.25">
      <c r="A3" t="s">
        <v>2</v>
      </c>
      <c r="B3" t="s">
        <v>127</v>
      </c>
      <c r="C3" t="s">
        <v>128</v>
      </c>
    </row>
    <row r="4" spans="1:6" ht="15" customHeight="1" x14ac:dyDescent="0.25">
      <c r="A4" t="s">
        <v>3</v>
      </c>
      <c r="B4" t="s">
        <v>129</v>
      </c>
      <c r="C4" t="s">
        <v>128</v>
      </c>
    </row>
    <row r="5" spans="1:6" ht="15" customHeight="1" x14ac:dyDescent="0.25">
      <c r="A5" t="s">
        <v>9</v>
      </c>
      <c r="B5" t="s">
        <v>130</v>
      </c>
      <c r="C5" t="s">
        <v>131</v>
      </c>
      <c r="D5" t="s">
        <v>132</v>
      </c>
    </row>
    <row r="6" spans="1:6" x14ac:dyDescent="0.25">
      <c r="A6" t="s">
        <v>133</v>
      </c>
      <c r="B6" t="s">
        <v>134</v>
      </c>
      <c r="C6" t="s">
        <v>135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/>
  </sheetViews>
  <sheetFormatPr defaultColWidth="8.7109375" defaultRowHeight="15" x14ac:dyDescent="0.25"/>
  <cols>
    <col min="1" max="1" width="18" style="1" customWidth="1"/>
  </cols>
  <sheetData>
    <row r="1" spans="1:2" ht="15" customHeight="1" x14ac:dyDescent="0.25">
      <c r="A1" s="2" t="s">
        <v>136</v>
      </c>
      <c r="B1" s="2" t="s">
        <v>122</v>
      </c>
    </row>
    <row r="2" spans="1:2" ht="15" customHeight="1" x14ac:dyDescent="0.25">
      <c r="A2" t="s">
        <v>33</v>
      </c>
      <c r="B2" t="s">
        <v>137</v>
      </c>
    </row>
    <row r="3" spans="1:2" ht="15" customHeight="1" x14ac:dyDescent="0.25">
      <c r="A3" t="s">
        <v>34</v>
      </c>
      <c r="B3" t="s">
        <v>138</v>
      </c>
    </row>
    <row r="4" spans="1:2" ht="15" customHeight="1" x14ac:dyDescent="0.25">
      <c r="A4" t="s">
        <v>35</v>
      </c>
      <c r="B4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Normal="100" workbookViewId="0">
      <selection activeCell="D9" activeCellId="1" sqref="B5 D9"/>
    </sheetView>
  </sheetViews>
  <sheetFormatPr defaultColWidth="8.7109375" defaultRowHeight="15" x14ac:dyDescent="0.25"/>
  <cols>
    <col min="1" max="1" width="26" style="1" customWidth="1"/>
    <col min="2" max="2" width="10" style="1" customWidth="1"/>
  </cols>
  <sheetData>
    <row r="1" spans="1:2" ht="15" customHeight="1" x14ac:dyDescent="0.25">
      <c r="A1" s="2" t="s">
        <v>140</v>
      </c>
      <c r="B1" s="2" t="s">
        <v>141</v>
      </c>
    </row>
    <row r="2" spans="1:2" ht="15" customHeight="1" x14ac:dyDescent="0.25">
      <c r="A2" s="5" t="s">
        <v>142</v>
      </c>
      <c r="B2" s="5">
        <v>15</v>
      </c>
    </row>
    <row r="3" spans="1:2" ht="15" customHeight="1" x14ac:dyDescent="0.25">
      <c r="A3" s="5" t="s">
        <v>143</v>
      </c>
      <c r="B3" s="5">
        <v>3</v>
      </c>
    </row>
    <row r="4" spans="1:2" ht="15" customHeight="1" x14ac:dyDescent="0.25">
      <c r="A4" s="5" t="s">
        <v>144</v>
      </c>
      <c r="B4" s="5">
        <v>10</v>
      </c>
    </row>
    <row r="5" spans="1:2" ht="15" customHeight="1" x14ac:dyDescent="0.25">
      <c r="A5" s="5" t="s">
        <v>145</v>
      </c>
      <c r="B5" s="5">
        <v>22</v>
      </c>
    </row>
    <row r="6" spans="1:2" ht="15" customHeight="1" x14ac:dyDescent="0.25">
      <c r="A6" s="5" t="s">
        <v>146</v>
      </c>
      <c r="B6" s="5">
        <v>22</v>
      </c>
    </row>
    <row r="7" spans="1:2" ht="15" customHeight="1" x14ac:dyDescent="0.25">
      <c r="A7" s="5" t="s">
        <v>147</v>
      </c>
      <c r="B7" s="5">
        <v>2</v>
      </c>
    </row>
    <row r="8" spans="1:2" ht="15" customHeight="1" x14ac:dyDescent="0.25">
      <c r="A8" s="5" t="s">
        <v>148</v>
      </c>
      <c r="B8" s="5">
        <v>111.68</v>
      </c>
    </row>
    <row r="9" spans="1:2" ht="15" customHeight="1" x14ac:dyDescent="0.25">
      <c r="A9" s="5" t="s">
        <v>149</v>
      </c>
      <c r="B9" s="5">
        <v>8</v>
      </c>
    </row>
    <row r="10" spans="1:2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4" zoomScaleNormal="100" workbookViewId="0">
      <selection activeCell="D28" sqref="D28"/>
    </sheetView>
  </sheetViews>
  <sheetFormatPr defaultColWidth="8.7109375" defaultRowHeight="15" x14ac:dyDescent="0.25"/>
  <cols>
    <col min="1" max="1" width="16" style="1" customWidth="1"/>
    <col min="2" max="2" width="20" style="1" customWidth="1"/>
  </cols>
  <sheetData>
    <row r="1" spans="1:2" ht="15" customHeight="1" x14ac:dyDescent="0.25">
      <c r="A1" s="2" t="s">
        <v>133</v>
      </c>
      <c r="B1" s="2" t="s">
        <v>150</v>
      </c>
    </row>
    <row r="2" spans="1:2" ht="15" customHeight="1" x14ac:dyDescent="0.25">
      <c r="A2" s="5" t="s">
        <v>151</v>
      </c>
      <c r="B2" s="5">
        <v>3</v>
      </c>
    </row>
    <row r="3" spans="1:2" ht="15" customHeight="1" x14ac:dyDescent="0.25">
      <c r="A3" s="5" t="s">
        <v>152</v>
      </c>
      <c r="B3" s="5">
        <v>3</v>
      </c>
    </row>
    <row r="4" spans="1:2" ht="15" customHeight="1" x14ac:dyDescent="0.25">
      <c r="A4" s="5" t="s">
        <v>153</v>
      </c>
      <c r="B4" s="5">
        <v>4</v>
      </c>
    </row>
    <row r="5" spans="1:2" ht="15" customHeight="1" x14ac:dyDescent="0.25">
      <c r="A5" s="5" t="s">
        <v>154</v>
      </c>
      <c r="B5" s="5">
        <v>3</v>
      </c>
    </row>
    <row r="6" spans="1:2" ht="15" customHeight="1" x14ac:dyDescent="0.25">
      <c r="A6" s="5" t="s">
        <v>155</v>
      </c>
      <c r="B6" s="5">
        <v>3</v>
      </c>
    </row>
    <row r="7" spans="1:2" ht="15" customHeight="1" x14ac:dyDescent="0.25">
      <c r="A7" s="5" t="s">
        <v>156</v>
      </c>
      <c r="B7" s="5">
        <v>3</v>
      </c>
    </row>
    <row r="8" spans="1:2" ht="15" customHeight="1" x14ac:dyDescent="0.25">
      <c r="A8" s="5" t="s">
        <v>157</v>
      </c>
      <c r="B8" s="5">
        <v>4</v>
      </c>
    </row>
    <row r="9" spans="1:2" ht="15" customHeight="1" x14ac:dyDescent="0.25">
      <c r="A9" s="5" t="s">
        <v>158</v>
      </c>
      <c r="B9" s="5">
        <v>3</v>
      </c>
    </row>
    <row r="10" spans="1:2" ht="15" customHeight="1" x14ac:dyDescent="0.25">
      <c r="A10" s="5" t="s">
        <v>159</v>
      </c>
      <c r="B10" s="5">
        <v>3</v>
      </c>
    </row>
    <row r="11" spans="1:2" ht="15" customHeight="1" x14ac:dyDescent="0.25">
      <c r="A11" s="5" t="s">
        <v>160</v>
      </c>
      <c r="B11" s="5">
        <v>3</v>
      </c>
    </row>
    <row r="12" spans="1:2" ht="15" customHeight="1" x14ac:dyDescent="0.25">
      <c r="A12" s="5" t="s">
        <v>161</v>
      </c>
      <c r="B12" s="5">
        <v>4</v>
      </c>
    </row>
    <row r="13" spans="1:2" ht="15" customHeight="1" x14ac:dyDescent="0.25">
      <c r="A13" s="5" t="s">
        <v>162</v>
      </c>
      <c r="B13" s="5">
        <v>3</v>
      </c>
    </row>
    <row r="14" spans="1:2" ht="15" customHeight="1" x14ac:dyDescent="0.25">
      <c r="A14" s="5" t="s">
        <v>163</v>
      </c>
      <c r="B14" s="5">
        <v>1</v>
      </c>
    </row>
    <row r="15" spans="1:2" ht="15" customHeight="1" x14ac:dyDescent="0.25">
      <c r="A15" s="5" t="s">
        <v>164</v>
      </c>
      <c r="B15" s="5">
        <v>2</v>
      </c>
    </row>
    <row r="16" spans="1:2" ht="15" customHeight="1" x14ac:dyDescent="0.25">
      <c r="A16" s="5" t="s">
        <v>165</v>
      </c>
      <c r="B16" s="5">
        <v>2</v>
      </c>
    </row>
    <row r="17" spans="1:2" ht="15" customHeight="1" x14ac:dyDescent="0.25">
      <c r="A17" s="5" t="s">
        <v>166</v>
      </c>
      <c r="B17" s="5">
        <v>2</v>
      </c>
    </row>
    <row r="18" spans="1:2" ht="15" customHeight="1" x14ac:dyDescent="0.25">
      <c r="A18" s="5" t="s">
        <v>167</v>
      </c>
      <c r="B18" s="5">
        <v>2</v>
      </c>
    </row>
    <row r="19" spans="1:2" ht="15" customHeight="1" x14ac:dyDescent="0.25">
      <c r="A19" s="5" t="s">
        <v>168</v>
      </c>
      <c r="B19" s="5">
        <v>3</v>
      </c>
    </row>
    <row r="20" spans="1:2" ht="15" customHeight="1" x14ac:dyDescent="0.25">
      <c r="A20" s="5" t="s">
        <v>169</v>
      </c>
      <c r="B20" s="5">
        <v>3</v>
      </c>
    </row>
    <row r="21" spans="1:2" ht="15" customHeight="1" x14ac:dyDescent="0.25">
      <c r="A21" s="5" t="s">
        <v>170</v>
      </c>
      <c r="B21" s="5">
        <v>2</v>
      </c>
    </row>
    <row r="22" spans="1:2" ht="15" customHeight="1" x14ac:dyDescent="0.25">
      <c r="A22" s="5" t="s">
        <v>171</v>
      </c>
      <c r="B22" s="5">
        <v>2</v>
      </c>
    </row>
    <row r="23" spans="1:2" ht="15" customHeight="1" x14ac:dyDescent="0.25">
      <c r="A23" s="5" t="s">
        <v>172</v>
      </c>
      <c r="B23" s="5">
        <v>2</v>
      </c>
    </row>
    <row r="24" spans="1:2" ht="15" customHeight="1" x14ac:dyDescent="0.25">
      <c r="A24" s="5" t="s">
        <v>173</v>
      </c>
      <c r="B24" s="5">
        <v>3</v>
      </c>
    </row>
    <row r="25" spans="1:2" ht="15" customHeight="1" x14ac:dyDescent="0.25">
      <c r="A25" s="5" t="s">
        <v>174</v>
      </c>
      <c r="B25" s="5">
        <v>2</v>
      </c>
    </row>
    <row r="26" spans="1:2" ht="15" customHeight="1" x14ac:dyDescent="0.25">
      <c r="A26" s="5" t="s">
        <v>175</v>
      </c>
      <c r="B26" s="5">
        <v>1</v>
      </c>
    </row>
    <row r="27" spans="1:2" ht="15" customHeight="1" x14ac:dyDescent="0.25">
      <c r="A27" s="5" t="s">
        <v>176</v>
      </c>
      <c r="B27" s="5">
        <v>2</v>
      </c>
    </row>
    <row r="28" spans="1:2" ht="15" customHeight="1" x14ac:dyDescent="0.25">
      <c r="A28" s="5" t="s">
        <v>177</v>
      </c>
      <c r="B28" s="5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defaultColWidth="8.7109375" defaultRowHeight="15" x14ac:dyDescent="0.25"/>
  <cols>
    <col min="1" max="1" width="24" style="1" customWidth="1"/>
    <col min="2" max="2" width="10" style="1" customWidth="1"/>
    <col min="3" max="3" width="11" style="1" customWidth="1"/>
    <col min="4" max="4" width="24" style="1" customWidth="1"/>
    <col min="5" max="5" width="26" style="1" customWidth="1"/>
    <col min="6" max="7" width="22" style="1" customWidth="1"/>
  </cols>
  <sheetData>
    <row r="1" spans="1:8" ht="15" customHeight="1" x14ac:dyDescent="0.25">
      <c r="A1" s="2" t="s">
        <v>36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</row>
    <row r="2" spans="1:8" ht="15" customHeight="1" x14ac:dyDescent="0.25">
      <c r="A2" s="5" t="s">
        <v>38</v>
      </c>
      <c r="B2" s="5">
        <v>34125</v>
      </c>
      <c r="C2" s="5">
        <v>5</v>
      </c>
      <c r="D2" s="5">
        <v>0.53</v>
      </c>
      <c r="E2" s="5">
        <v>0.35</v>
      </c>
      <c r="F2" s="5">
        <v>2500</v>
      </c>
      <c r="H2">
        <f>B2/C2</f>
        <v>6825</v>
      </c>
    </row>
    <row r="3" spans="1:8" ht="15" customHeight="1" x14ac:dyDescent="0.25">
      <c r="A3" s="5" t="s">
        <v>44</v>
      </c>
      <c r="B3" s="5">
        <v>35050</v>
      </c>
      <c r="C3" s="5">
        <v>5</v>
      </c>
      <c r="D3" s="5">
        <v>0.53</v>
      </c>
      <c r="E3" s="5">
        <v>0.35</v>
      </c>
      <c r="F3" s="5">
        <v>2500</v>
      </c>
      <c r="H3" s="1">
        <f t="shared" ref="H3:H23" si="0">B3/C3</f>
        <v>7010</v>
      </c>
    </row>
    <row r="4" spans="1:8" ht="15" customHeight="1" x14ac:dyDescent="0.25">
      <c r="A4" s="5" t="s">
        <v>46</v>
      </c>
      <c r="B4" s="5">
        <v>29800</v>
      </c>
      <c r="C4" s="5">
        <v>5</v>
      </c>
      <c r="D4" s="5">
        <v>0.41</v>
      </c>
      <c r="E4" s="5">
        <v>0.28000000000000003</v>
      </c>
      <c r="F4" s="5">
        <v>2200</v>
      </c>
      <c r="H4" s="1">
        <f t="shared" si="0"/>
        <v>5960</v>
      </c>
    </row>
    <row r="5" spans="1:8" ht="15" customHeight="1" x14ac:dyDescent="0.25">
      <c r="A5" s="5" t="s">
        <v>51</v>
      </c>
      <c r="B5" s="5">
        <v>37750</v>
      </c>
      <c r="C5" s="5">
        <v>5</v>
      </c>
      <c r="D5" s="5">
        <v>0.65</v>
      </c>
      <c r="E5" s="5">
        <v>0.45</v>
      </c>
      <c r="F5" s="5">
        <v>2800</v>
      </c>
      <c r="H5" s="1">
        <f t="shared" si="0"/>
        <v>7550</v>
      </c>
    </row>
    <row r="6" spans="1:8" ht="15" customHeight="1" x14ac:dyDescent="0.25">
      <c r="A6" s="5" t="s">
        <v>55</v>
      </c>
      <c r="B6" s="5">
        <v>38937</v>
      </c>
      <c r="C6" s="5">
        <v>5</v>
      </c>
      <c r="D6" s="5">
        <v>0.65</v>
      </c>
      <c r="E6" s="5">
        <v>0.45</v>
      </c>
      <c r="F6" s="5">
        <v>2800</v>
      </c>
      <c r="H6" s="1">
        <f t="shared" si="0"/>
        <v>7787.4</v>
      </c>
    </row>
    <row r="7" spans="1:8" ht="15" customHeight="1" x14ac:dyDescent="0.25">
      <c r="A7" s="5" t="s">
        <v>58</v>
      </c>
      <c r="B7" s="5">
        <v>36500</v>
      </c>
      <c r="C7" s="5">
        <v>5</v>
      </c>
      <c r="D7" s="5">
        <v>0.53</v>
      </c>
      <c r="E7" s="5">
        <v>0.32</v>
      </c>
      <c r="F7" s="5">
        <v>2600</v>
      </c>
      <c r="H7" s="1">
        <f t="shared" si="0"/>
        <v>7300</v>
      </c>
    </row>
    <row r="8" spans="1:8" ht="15" customHeight="1" x14ac:dyDescent="0.25">
      <c r="A8" s="5" t="s">
        <v>61</v>
      </c>
      <c r="B8" s="5">
        <v>37200</v>
      </c>
      <c r="C8" s="5">
        <v>5</v>
      </c>
      <c r="D8" s="5">
        <v>0.53</v>
      </c>
      <c r="E8" s="5">
        <v>0.32</v>
      </c>
      <c r="F8" s="5">
        <v>2600</v>
      </c>
      <c r="H8" s="1">
        <f t="shared" si="0"/>
        <v>7440</v>
      </c>
    </row>
    <row r="9" spans="1:8" ht="15" customHeight="1" x14ac:dyDescent="0.25">
      <c r="A9" s="5" t="s">
        <v>64</v>
      </c>
      <c r="B9" s="5">
        <v>31000</v>
      </c>
      <c r="C9" s="5">
        <v>4</v>
      </c>
      <c r="D9" s="5">
        <v>0.9</v>
      </c>
      <c r="E9" s="5">
        <v>0.3</v>
      </c>
      <c r="F9" s="5">
        <v>1500</v>
      </c>
      <c r="H9" s="1">
        <f t="shared" si="0"/>
        <v>7750</v>
      </c>
    </row>
    <row r="10" spans="1:8" ht="15" customHeight="1" x14ac:dyDescent="0.25">
      <c r="A10" s="5" t="s">
        <v>70</v>
      </c>
      <c r="B10" s="5">
        <v>14500</v>
      </c>
      <c r="C10" s="5">
        <v>3</v>
      </c>
      <c r="D10" s="5">
        <v>1</v>
      </c>
      <c r="E10" s="5">
        <v>0.25</v>
      </c>
      <c r="F10" s="5">
        <v>1200</v>
      </c>
      <c r="H10" s="1">
        <f t="shared" si="0"/>
        <v>4833.333333333333</v>
      </c>
    </row>
    <row r="11" spans="1:8" ht="15" customHeight="1" x14ac:dyDescent="0.25">
      <c r="A11" s="5" t="s">
        <v>75</v>
      </c>
      <c r="B11" s="5">
        <v>70945</v>
      </c>
      <c r="C11" s="5">
        <v>4</v>
      </c>
      <c r="D11" s="5">
        <v>1</v>
      </c>
      <c r="E11" s="5">
        <v>0.38</v>
      </c>
      <c r="F11" s="5">
        <v>1800</v>
      </c>
      <c r="H11" s="1">
        <f t="shared" si="0"/>
        <v>17736.25</v>
      </c>
    </row>
    <row r="12" spans="1:8" ht="15" customHeight="1" x14ac:dyDescent="0.25">
      <c r="A12" s="5" t="s">
        <v>78</v>
      </c>
      <c r="B12" s="5">
        <v>82000</v>
      </c>
      <c r="C12" s="5">
        <v>4</v>
      </c>
      <c r="D12" s="5">
        <v>1.5</v>
      </c>
      <c r="E12" s="5">
        <v>0.42</v>
      </c>
      <c r="F12" s="5">
        <v>1800</v>
      </c>
      <c r="H12" s="1">
        <f t="shared" si="0"/>
        <v>20500</v>
      </c>
    </row>
    <row r="13" spans="1:8" ht="15" customHeight="1" x14ac:dyDescent="0.25">
      <c r="A13" s="5" t="s">
        <v>82</v>
      </c>
      <c r="B13" s="5">
        <v>74500</v>
      </c>
      <c r="C13" s="5">
        <v>4</v>
      </c>
      <c r="D13" s="5">
        <v>1</v>
      </c>
      <c r="E13" s="5">
        <v>0.38</v>
      </c>
      <c r="F13" s="5">
        <v>1800</v>
      </c>
      <c r="H13" s="1">
        <f t="shared" si="0"/>
        <v>18625</v>
      </c>
    </row>
    <row r="14" spans="1:8" ht="15" customHeight="1" x14ac:dyDescent="0.25">
      <c r="A14" s="5" t="s">
        <v>84</v>
      </c>
      <c r="B14" s="5">
        <v>28900</v>
      </c>
      <c r="C14" s="5">
        <v>5</v>
      </c>
      <c r="D14" s="5">
        <v>0.7</v>
      </c>
      <c r="E14" s="5">
        <v>0.4</v>
      </c>
      <c r="F14" s="5">
        <v>2400</v>
      </c>
      <c r="H14" s="1">
        <f t="shared" si="0"/>
        <v>5780</v>
      </c>
    </row>
    <row r="15" spans="1:8" ht="15" customHeight="1" x14ac:dyDescent="0.25">
      <c r="A15" s="5" t="s">
        <v>87</v>
      </c>
      <c r="B15" s="5">
        <v>21500</v>
      </c>
      <c r="C15" s="5">
        <v>4</v>
      </c>
      <c r="D15" s="5">
        <v>0.48</v>
      </c>
      <c r="E15" s="5">
        <v>0.28000000000000003</v>
      </c>
      <c r="F15" s="5">
        <v>2000</v>
      </c>
      <c r="H15" s="1">
        <f t="shared" si="0"/>
        <v>5375</v>
      </c>
    </row>
    <row r="16" spans="1:8" ht="15" customHeight="1" x14ac:dyDescent="0.25">
      <c r="A16" s="5" t="s">
        <v>90</v>
      </c>
      <c r="B16" s="5">
        <v>35000</v>
      </c>
      <c r="C16" s="5">
        <v>5</v>
      </c>
      <c r="D16" s="5">
        <v>0.75</v>
      </c>
      <c r="E16" s="5">
        <v>0.42</v>
      </c>
      <c r="F16" s="5">
        <v>2500</v>
      </c>
      <c r="H16" s="1">
        <f t="shared" si="0"/>
        <v>7000</v>
      </c>
    </row>
    <row r="17" spans="1:8" ht="15" customHeight="1" x14ac:dyDescent="0.25">
      <c r="A17" s="5" t="s">
        <v>95</v>
      </c>
      <c r="B17" s="5">
        <v>32000</v>
      </c>
      <c r="C17" s="5">
        <v>5</v>
      </c>
      <c r="D17" s="5">
        <v>0.68</v>
      </c>
      <c r="E17" s="5">
        <v>0.38</v>
      </c>
      <c r="F17" s="5">
        <v>2400</v>
      </c>
      <c r="H17" s="1">
        <f t="shared" si="0"/>
        <v>6400</v>
      </c>
    </row>
    <row r="18" spans="1:8" ht="15" customHeight="1" x14ac:dyDescent="0.25">
      <c r="A18" s="5" t="s">
        <v>98</v>
      </c>
      <c r="B18" s="5">
        <v>44500</v>
      </c>
      <c r="C18" s="5">
        <v>5</v>
      </c>
      <c r="D18" s="5">
        <v>0.85</v>
      </c>
      <c r="E18" s="5">
        <v>0.48</v>
      </c>
      <c r="F18" s="5">
        <v>2700</v>
      </c>
      <c r="H18" s="1">
        <f t="shared" si="0"/>
        <v>8900</v>
      </c>
    </row>
    <row r="19" spans="1:8" ht="15" customHeight="1" x14ac:dyDescent="0.25">
      <c r="A19" s="5" t="s">
        <v>101</v>
      </c>
      <c r="B19" s="5">
        <v>16500</v>
      </c>
      <c r="C19" s="5">
        <v>3</v>
      </c>
      <c r="D19" s="5">
        <v>0.55000000000000004</v>
      </c>
      <c r="E19" s="5">
        <v>0.3</v>
      </c>
      <c r="F19" s="5">
        <v>2200</v>
      </c>
      <c r="H19" s="1">
        <f t="shared" si="0"/>
        <v>5500</v>
      </c>
    </row>
    <row r="20" spans="1:8" ht="15" customHeight="1" x14ac:dyDescent="0.25">
      <c r="A20" s="5" t="s">
        <v>103</v>
      </c>
      <c r="B20" s="5">
        <v>18900</v>
      </c>
      <c r="C20" s="5">
        <v>3</v>
      </c>
      <c r="D20" s="5">
        <v>0.6</v>
      </c>
      <c r="E20" s="5">
        <v>0.32</v>
      </c>
      <c r="F20" s="5">
        <v>2300</v>
      </c>
      <c r="H20" s="1">
        <f t="shared" si="0"/>
        <v>6300</v>
      </c>
    </row>
    <row r="21" spans="1:8" ht="15" customHeight="1" x14ac:dyDescent="0.25">
      <c r="A21" s="5" t="s">
        <v>106</v>
      </c>
      <c r="B21" s="5">
        <v>19800</v>
      </c>
      <c r="C21" s="5">
        <v>3</v>
      </c>
      <c r="D21" s="5">
        <v>0.6</v>
      </c>
      <c r="E21" s="5">
        <v>0.3</v>
      </c>
      <c r="F21" s="5">
        <v>2400</v>
      </c>
      <c r="H21" s="1">
        <f t="shared" si="0"/>
        <v>6600</v>
      </c>
    </row>
    <row r="22" spans="1:8" ht="15" customHeight="1" x14ac:dyDescent="0.25">
      <c r="A22" s="5" t="s">
        <v>109</v>
      </c>
      <c r="B22" s="5">
        <v>15500</v>
      </c>
      <c r="C22" s="5">
        <v>3</v>
      </c>
      <c r="D22" s="5">
        <v>0.85</v>
      </c>
      <c r="E22" s="5">
        <v>0.32</v>
      </c>
      <c r="F22" s="5">
        <v>2500</v>
      </c>
      <c r="H22" s="1">
        <f t="shared" si="0"/>
        <v>5166.666666666667</v>
      </c>
    </row>
    <row r="23" spans="1:8" ht="15" customHeight="1" x14ac:dyDescent="0.25">
      <c r="A23" s="5" t="s">
        <v>112</v>
      </c>
      <c r="B23" s="5">
        <v>14000</v>
      </c>
      <c r="C23" s="5">
        <v>3</v>
      </c>
      <c r="D23" s="5">
        <v>0.9</v>
      </c>
      <c r="E23" s="5">
        <v>0.34</v>
      </c>
      <c r="F23" s="5">
        <v>2500</v>
      </c>
      <c r="H23" s="1">
        <f t="shared" si="0"/>
        <v>4666.666666666667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24" style="1" customWidth="1"/>
    <col min="2" max="2" width="16" style="1" customWidth="1"/>
    <col min="3" max="3" width="18" style="1" customWidth="1"/>
  </cols>
  <sheetData>
    <row r="1" spans="1:3" ht="15" customHeight="1" x14ac:dyDescent="0.25">
      <c r="A1" s="2" t="s">
        <v>36</v>
      </c>
      <c r="B1" s="2" t="s">
        <v>183</v>
      </c>
      <c r="C1" s="2" t="s">
        <v>184</v>
      </c>
    </row>
    <row r="2" spans="1:3" ht="15" customHeight="1" x14ac:dyDescent="0.25">
      <c r="A2" s="5" t="s">
        <v>38</v>
      </c>
      <c r="B2" s="5" t="s">
        <v>185</v>
      </c>
      <c r="C2" s="5">
        <v>12</v>
      </c>
    </row>
    <row r="3" spans="1:3" ht="15" customHeight="1" x14ac:dyDescent="0.25">
      <c r="A3" s="5" t="s">
        <v>44</v>
      </c>
      <c r="B3" s="5" t="s">
        <v>185</v>
      </c>
      <c r="C3" s="5">
        <v>12</v>
      </c>
    </row>
    <row r="4" spans="1:3" ht="15" customHeight="1" x14ac:dyDescent="0.25">
      <c r="A4" s="5" t="s">
        <v>46</v>
      </c>
      <c r="B4" s="5" t="s">
        <v>185</v>
      </c>
      <c r="C4" s="5">
        <v>12</v>
      </c>
    </row>
    <row r="5" spans="1:3" ht="15" customHeight="1" x14ac:dyDescent="0.25">
      <c r="A5" s="5" t="s">
        <v>51</v>
      </c>
      <c r="B5" s="5" t="s">
        <v>186</v>
      </c>
      <c r="C5" s="5">
        <v>12</v>
      </c>
    </row>
    <row r="6" spans="1:3" ht="15" customHeight="1" x14ac:dyDescent="0.25">
      <c r="A6" s="5" t="s">
        <v>55</v>
      </c>
      <c r="B6" s="5" t="s">
        <v>185</v>
      </c>
      <c r="C6" s="5">
        <v>12</v>
      </c>
    </row>
    <row r="7" spans="1:3" ht="15" customHeight="1" x14ac:dyDescent="0.25">
      <c r="A7" s="5" t="s">
        <v>58</v>
      </c>
      <c r="B7" s="5" t="s">
        <v>187</v>
      </c>
      <c r="C7" s="5">
        <v>12</v>
      </c>
    </row>
    <row r="8" spans="1:3" ht="15" customHeight="1" x14ac:dyDescent="0.25">
      <c r="A8" s="5" t="s">
        <v>61</v>
      </c>
      <c r="B8" s="5" t="s">
        <v>185</v>
      </c>
      <c r="C8" s="5">
        <v>12</v>
      </c>
    </row>
    <row r="9" spans="1:3" ht="15" customHeight="1" x14ac:dyDescent="0.25">
      <c r="A9" s="5" t="s">
        <v>64</v>
      </c>
      <c r="B9" s="5" t="s">
        <v>185</v>
      </c>
      <c r="C9" s="5">
        <v>12</v>
      </c>
    </row>
    <row r="10" spans="1:3" ht="15" customHeight="1" x14ac:dyDescent="0.25">
      <c r="A10" s="5" t="s">
        <v>70</v>
      </c>
      <c r="B10" s="5" t="s">
        <v>186</v>
      </c>
      <c r="C10" s="5">
        <v>6</v>
      </c>
    </row>
    <row r="11" spans="1:3" ht="15" customHeight="1" x14ac:dyDescent="0.25">
      <c r="A11" s="5" t="s">
        <v>75</v>
      </c>
      <c r="B11" s="5" t="s">
        <v>185</v>
      </c>
      <c r="C11" s="5">
        <v>12</v>
      </c>
    </row>
    <row r="12" spans="1:3" ht="15" customHeight="1" x14ac:dyDescent="0.25">
      <c r="A12" s="5" t="s">
        <v>78</v>
      </c>
      <c r="B12" s="5" t="s">
        <v>185</v>
      </c>
      <c r="C12" s="5">
        <v>12</v>
      </c>
    </row>
    <row r="13" spans="1:3" ht="15" customHeight="1" x14ac:dyDescent="0.25">
      <c r="A13" s="5" t="s">
        <v>82</v>
      </c>
      <c r="B13" s="5" t="s">
        <v>185</v>
      </c>
      <c r="C13" s="5">
        <v>12</v>
      </c>
    </row>
    <row r="14" spans="1:3" ht="15" customHeight="1" x14ac:dyDescent="0.25">
      <c r="A14" s="5" t="s">
        <v>84</v>
      </c>
      <c r="B14" s="5" t="s">
        <v>187</v>
      </c>
      <c r="C14" s="5">
        <v>12</v>
      </c>
    </row>
    <row r="15" spans="1:3" ht="15" customHeight="1" x14ac:dyDescent="0.25">
      <c r="A15" s="5" t="s">
        <v>87</v>
      </c>
      <c r="B15" s="5" t="s">
        <v>186</v>
      </c>
      <c r="C15" s="5">
        <v>12</v>
      </c>
    </row>
    <row r="16" spans="1:3" ht="15" customHeight="1" x14ac:dyDescent="0.25">
      <c r="A16" s="5" t="s">
        <v>90</v>
      </c>
      <c r="B16" s="5" t="s">
        <v>185</v>
      </c>
      <c r="C16" s="5">
        <v>12</v>
      </c>
    </row>
    <row r="17" spans="1:3" ht="15" customHeight="1" x14ac:dyDescent="0.25">
      <c r="A17" s="5" t="s">
        <v>95</v>
      </c>
      <c r="B17" s="5" t="s">
        <v>185</v>
      </c>
      <c r="C17" s="5">
        <v>12</v>
      </c>
    </row>
    <row r="18" spans="1:3" ht="15" customHeight="1" x14ac:dyDescent="0.25">
      <c r="A18" s="5" t="s">
        <v>98</v>
      </c>
      <c r="B18" s="5" t="s">
        <v>185</v>
      </c>
      <c r="C18" s="5">
        <v>12</v>
      </c>
    </row>
    <row r="19" spans="1:3" ht="15" customHeight="1" x14ac:dyDescent="0.25">
      <c r="A19" s="5" t="s">
        <v>101</v>
      </c>
      <c r="B19" s="5" t="s">
        <v>185</v>
      </c>
      <c r="C19" s="5">
        <v>6</v>
      </c>
    </row>
    <row r="20" spans="1:3" ht="15" customHeight="1" x14ac:dyDescent="0.25">
      <c r="A20" s="5" t="s">
        <v>103</v>
      </c>
      <c r="B20" s="5" t="s">
        <v>186</v>
      </c>
      <c r="C20" s="5">
        <v>12</v>
      </c>
    </row>
    <row r="21" spans="1:3" ht="15" customHeight="1" x14ac:dyDescent="0.25">
      <c r="A21" s="5" t="s">
        <v>106</v>
      </c>
      <c r="B21" s="5" t="s">
        <v>187</v>
      </c>
      <c r="C21" s="5">
        <v>12</v>
      </c>
    </row>
    <row r="22" spans="1:3" ht="15" customHeight="1" x14ac:dyDescent="0.25">
      <c r="A22" s="5" t="s">
        <v>109</v>
      </c>
      <c r="B22" s="5" t="s">
        <v>185</v>
      </c>
      <c r="C22" s="5">
        <v>12</v>
      </c>
    </row>
    <row r="23" spans="1:3" ht="15" customHeight="1" x14ac:dyDescent="0.25">
      <c r="A23" s="5" t="s">
        <v>112</v>
      </c>
      <c r="B23" s="5" t="s">
        <v>185</v>
      </c>
      <c r="C23" s="5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activeCell="A4" sqref="A4:C4"/>
    </sheetView>
  </sheetViews>
  <sheetFormatPr defaultColWidth="8.7109375" defaultRowHeight="15" x14ac:dyDescent="0.25"/>
  <cols>
    <col min="1" max="1" width="24" style="1" customWidth="1"/>
    <col min="2" max="2" width="16" style="1" customWidth="1"/>
    <col min="3" max="3" width="18" style="1" customWidth="1"/>
  </cols>
  <sheetData>
    <row r="1" spans="1:3" ht="15" customHeight="1" x14ac:dyDescent="0.25">
      <c r="A1" s="2" t="s">
        <v>37</v>
      </c>
      <c r="B1" s="2" t="s">
        <v>188</v>
      </c>
      <c r="C1" s="2" t="s">
        <v>189</v>
      </c>
    </row>
    <row r="2" spans="1:3" ht="15" customHeight="1" x14ac:dyDescent="0.25">
      <c r="A2" s="5" t="s">
        <v>39</v>
      </c>
      <c r="B2" s="5" t="s">
        <v>190</v>
      </c>
      <c r="C2" s="5" t="s">
        <v>191</v>
      </c>
    </row>
    <row r="3" spans="1:3" ht="15" customHeight="1" x14ac:dyDescent="0.25">
      <c r="A3" s="5" t="s">
        <v>71</v>
      </c>
      <c r="B3" s="5" t="s">
        <v>190</v>
      </c>
      <c r="C3" s="5" t="s">
        <v>192</v>
      </c>
    </row>
    <row r="4" spans="1:3" ht="15" customHeight="1" x14ac:dyDescent="0.25">
      <c r="A4" s="5" t="s">
        <v>113</v>
      </c>
      <c r="B4" s="5" t="s">
        <v>190</v>
      </c>
      <c r="C4" s="5" t="s">
        <v>191</v>
      </c>
    </row>
    <row r="5" spans="1:3" ht="15" customHeight="1" x14ac:dyDescent="0.25">
      <c r="A5" s="5" t="s">
        <v>91</v>
      </c>
      <c r="B5" s="5" t="s">
        <v>190</v>
      </c>
      <c r="C5" s="5" t="s">
        <v>191</v>
      </c>
    </row>
    <row r="6" spans="1:3" ht="15" customHeight="1" x14ac:dyDescent="0.25">
      <c r="A6" s="5" t="s">
        <v>102</v>
      </c>
      <c r="B6" s="5" t="s">
        <v>190</v>
      </c>
      <c r="C6" s="5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zoomScaleNormal="100" workbookViewId="0"/>
  </sheetViews>
  <sheetFormatPr defaultColWidth="8.7109375" defaultRowHeight="15" x14ac:dyDescent="0.25"/>
  <cols>
    <col min="1" max="1" width="18" style="1" customWidth="1"/>
    <col min="2" max="2" width="20" style="1" customWidth="1"/>
    <col min="3" max="3" width="8" style="1" customWidth="1"/>
  </cols>
  <sheetData>
    <row r="1" spans="1:3" ht="15" customHeight="1" x14ac:dyDescent="0.25">
      <c r="A1" s="2" t="s">
        <v>194</v>
      </c>
      <c r="B1" s="2" t="s">
        <v>141</v>
      </c>
      <c r="C1" s="2" t="s">
        <v>117</v>
      </c>
    </row>
    <row r="2" spans="1:3" ht="15" customHeight="1" x14ac:dyDescent="0.25">
      <c r="A2" s="5" t="s">
        <v>183</v>
      </c>
      <c r="B2" s="5" t="s">
        <v>185</v>
      </c>
      <c r="C2" s="5">
        <v>100</v>
      </c>
    </row>
    <row r="3" spans="1:3" ht="15" customHeight="1" x14ac:dyDescent="0.25">
      <c r="A3" s="5" t="s">
        <v>183</v>
      </c>
      <c r="B3" s="5" t="s">
        <v>186</v>
      </c>
      <c r="C3" s="5">
        <v>60</v>
      </c>
    </row>
    <row r="4" spans="1:3" ht="15" customHeight="1" x14ac:dyDescent="0.25">
      <c r="A4" s="5" t="s">
        <v>183</v>
      </c>
      <c r="B4" s="5" t="s">
        <v>187</v>
      </c>
      <c r="C4" s="5">
        <v>30</v>
      </c>
    </row>
    <row r="5" spans="1:3" ht="15" customHeight="1" x14ac:dyDescent="0.25">
      <c r="A5" s="5" t="s">
        <v>183</v>
      </c>
      <c r="B5" s="5" t="s">
        <v>195</v>
      </c>
      <c r="C5" s="5">
        <v>0</v>
      </c>
    </row>
    <row r="6" spans="1:3" ht="15" customHeight="1" x14ac:dyDescent="0.25">
      <c r="A6" s="5" t="s">
        <v>184</v>
      </c>
      <c r="B6" s="5">
        <v>6</v>
      </c>
      <c r="C6" s="5">
        <v>30</v>
      </c>
    </row>
    <row r="7" spans="1:3" ht="15" customHeight="1" x14ac:dyDescent="0.25">
      <c r="A7" s="5" t="s">
        <v>184</v>
      </c>
      <c r="B7" s="5">
        <v>12</v>
      </c>
      <c r="C7" s="5">
        <v>70</v>
      </c>
    </row>
    <row r="8" spans="1:3" ht="15" customHeight="1" x14ac:dyDescent="0.25">
      <c r="A8" s="5" t="s">
        <v>184</v>
      </c>
      <c r="B8" s="5">
        <v>24</v>
      </c>
      <c r="C8" s="5">
        <v>100</v>
      </c>
    </row>
    <row r="9" spans="1:3" ht="15" customHeight="1" x14ac:dyDescent="0.25">
      <c r="A9" s="5" t="s">
        <v>189</v>
      </c>
      <c r="B9" s="5" t="s">
        <v>191</v>
      </c>
      <c r="C9" s="5">
        <v>100</v>
      </c>
    </row>
    <row r="10" spans="1:3" ht="15" customHeight="1" x14ac:dyDescent="0.25">
      <c r="A10" s="5" t="s">
        <v>189</v>
      </c>
      <c r="B10" s="5" t="s">
        <v>192</v>
      </c>
      <c r="C10" s="5">
        <v>70</v>
      </c>
    </row>
    <row r="11" spans="1:3" ht="15" customHeight="1" x14ac:dyDescent="0.25">
      <c r="A11" s="5" t="s">
        <v>189</v>
      </c>
      <c r="B11" s="5" t="s">
        <v>193</v>
      </c>
      <c r="C11" s="5">
        <v>50</v>
      </c>
    </row>
    <row r="12" spans="1:3" ht="15" customHeight="1" x14ac:dyDescent="0.25">
      <c r="A12" s="5" t="s">
        <v>189</v>
      </c>
      <c r="B12" s="5" t="s">
        <v>196</v>
      </c>
      <c r="C12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Normal="100" workbookViewId="0"/>
  </sheetViews>
  <sheetFormatPr defaultColWidth="8.7109375" defaultRowHeight="15" x14ac:dyDescent="0.25"/>
  <cols>
    <col min="1" max="1" width="12" style="1" customWidth="1"/>
    <col min="2" max="2" width="8" style="1" customWidth="1"/>
    <col min="3" max="3" width="4" style="1" customWidth="1"/>
    <col min="4" max="4" width="20" style="1" customWidth="1"/>
    <col min="5" max="5" width="8" style="1" customWidth="1"/>
  </cols>
  <sheetData>
    <row r="1" spans="1:5" ht="15" customHeight="1" x14ac:dyDescent="0.25">
      <c r="A1" s="2" t="s">
        <v>197</v>
      </c>
      <c r="B1" s="2" t="s">
        <v>35</v>
      </c>
      <c r="C1" s="2"/>
      <c r="D1" s="2" t="s">
        <v>198</v>
      </c>
      <c r="E1" s="2" t="s">
        <v>35</v>
      </c>
    </row>
    <row r="2" spans="1:5" ht="15" customHeight="1" x14ac:dyDescent="0.25">
      <c r="A2" s="5" t="s">
        <v>199</v>
      </c>
      <c r="B2" s="5">
        <v>50</v>
      </c>
      <c r="C2" s="5"/>
      <c r="D2" s="5" t="s">
        <v>183</v>
      </c>
      <c r="E2" s="5">
        <v>40</v>
      </c>
    </row>
    <row r="3" spans="1:5" ht="15" customHeight="1" x14ac:dyDescent="0.25">
      <c r="A3" s="5" t="s">
        <v>200</v>
      </c>
      <c r="B3" s="5">
        <v>30</v>
      </c>
      <c r="C3" s="5"/>
      <c r="D3" s="5" t="s">
        <v>189</v>
      </c>
      <c r="E3" s="5">
        <v>40</v>
      </c>
    </row>
    <row r="4" spans="1:5" ht="15" customHeight="1" x14ac:dyDescent="0.25">
      <c r="A4" s="5" t="s">
        <v>201</v>
      </c>
      <c r="B4" s="5">
        <v>20</v>
      </c>
      <c r="C4" s="5"/>
      <c r="D4" s="5" t="s">
        <v>202</v>
      </c>
      <c r="E4" s="5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rules</vt:lpstr>
      <vt:lpstr>feature_rank</vt:lpstr>
      <vt:lpstr>models</vt:lpstr>
      <vt:lpstr>rank_points</vt:lpstr>
      <vt:lpstr>inputs</vt:lpstr>
      <vt:lpstr>units</vt:lpstr>
      <vt:lpstr>settings</vt:lpstr>
      <vt:lpstr>crop_operations</vt:lpstr>
      <vt:lpstr>economic</vt:lpstr>
      <vt:lpstr>commercial</vt:lpstr>
      <vt:lpstr>brand_service</vt:lpstr>
      <vt:lpstr>commercial_points</vt:lpstr>
      <vt:lpstr>weights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2026-09-30T05:40:35Z</dcterms:created>
  <dcterms:modified xsi:type="dcterms:W3CDTF">2026-10-07T07:13:04Z</dcterms:modified>
  <dc:language>en-US</dc:language>
</cp:coreProperties>
</file>